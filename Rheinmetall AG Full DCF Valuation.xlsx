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maria/Desktop/Finance &amp; Career /AENA/"/>
    </mc:Choice>
  </mc:AlternateContent>
  <xr:revisionPtr revIDLastSave="0" documentId="13_ncr:1_{98281C57-8504-4945-BD8A-E83708CC4C8F}" xr6:coauthVersionLast="47" xr6:coauthVersionMax="47" xr10:uidLastSave="{00000000-0000-0000-0000-000000000000}"/>
  <bookViews>
    <workbookView xWindow="0" yWindow="760" windowWidth="29400" windowHeight="18360" activeTab="3" xr2:uid="{5DBDE5CD-8BAB-2049-A29A-78515240DA16}"/>
  </bookViews>
  <sheets>
    <sheet name="Cover" sheetId="9" r:id="rId1"/>
    <sheet name="Data &amp; Forecasting " sheetId="5" r:id="rId2"/>
    <sheet name="WACC" sheetId="8" r:id="rId3"/>
    <sheet name="Operating Forecast &amp; Valuation" sheetId="7" r:id="rId4"/>
    <sheet name="Benchmarking Analysis" sheetId="1" r:id="rId5"/>
    <sheet name="Benchmarking Analysis (x) LTM" sheetId="2" r:id="rId6"/>
    <sheet name="Benchmarking Analysis (x) NTM" sheetId="4" r:id="rId7"/>
  </sheets>
  <externalReferences>
    <externalReference r:id="rId8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7" l="1"/>
  <c r="L9" i="7"/>
  <c r="M9" i="7"/>
  <c r="N9" i="7" s="1"/>
  <c r="L8" i="7"/>
  <c r="L7" i="7" s="1"/>
  <c r="I38" i="7"/>
  <c r="I33" i="7"/>
  <c r="I30" i="7"/>
  <c r="I32" i="7"/>
  <c r="V11" i="2"/>
  <c r="U11" i="2"/>
  <c r="N15" i="7"/>
  <c r="N12" i="7"/>
  <c r="I37" i="7"/>
  <c r="J10" i="8"/>
  <c r="J11" i="8"/>
  <c r="J12" i="8"/>
  <c r="J13" i="8"/>
  <c r="J9" i="8"/>
  <c r="H10" i="8"/>
  <c r="H11" i="8"/>
  <c r="H12" i="8"/>
  <c r="H13" i="8"/>
  <c r="H9" i="8"/>
  <c r="G10" i="8"/>
  <c r="G11" i="8"/>
  <c r="G12" i="8"/>
  <c r="G13" i="8"/>
  <c r="G9" i="8"/>
  <c r="C15" i="8"/>
  <c r="C14" i="8"/>
  <c r="C13" i="8"/>
  <c r="C8" i="8"/>
  <c r="C9" i="8" s="1"/>
  <c r="I22" i="8" s="1"/>
  <c r="J22" i="8"/>
  <c r="I16" i="8"/>
  <c r="F16" i="8"/>
  <c r="I15" i="8"/>
  <c r="F15" i="8"/>
  <c r="I13" i="8"/>
  <c r="K13" i="8" s="1"/>
  <c r="I12" i="8"/>
  <c r="K12" i="8" s="1"/>
  <c r="I11" i="8"/>
  <c r="K11" i="8" s="1"/>
  <c r="I10" i="8"/>
  <c r="K10" i="8" s="1"/>
  <c r="I9" i="8"/>
  <c r="K9" i="8" s="1"/>
  <c r="E19" i="7"/>
  <c r="F19" i="7"/>
  <c r="F59" i="7" s="1"/>
  <c r="H19" i="7"/>
  <c r="I19" i="7"/>
  <c r="I59" i="7" s="1"/>
  <c r="J19" i="7"/>
  <c r="J59" i="7" s="1"/>
  <c r="K19" i="7"/>
  <c r="K59" i="7" s="1"/>
  <c r="E59" i="7"/>
  <c r="H59" i="7"/>
  <c r="K57" i="7"/>
  <c r="J57" i="7"/>
  <c r="I57" i="7"/>
  <c r="H57" i="7"/>
  <c r="H55" i="7"/>
  <c r="I55" i="7"/>
  <c r="J55" i="7"/>
  <c r="K55" i="7"/>
  <c r="J11" i="7"/>
  <c r="J56" i="7" s="1"/>
  <c r="K11" i="7"/>
  <c r="K56" i="7" s="1"/>
  <c r="I11" i="7"/>
  <c r="I56" i="7" s="1"/>
  <c r="H11" i="7"/>
  <c r="H56" i="7" s="1"/>
  <c r="E11" i="7"/>
  <c r="F11" i="7"/>
  <c r="D11" i="7"/>
  <c r="L12" i="7"/>
  <c r="M12" i="7" s="1"/>
  <c r="I58" i="7"/>
  <c r="H58" i="7"/>
  <c r="F58" i="7"/>
  <c r="G7" i="7"/>
  <c r="F57" i="7"/>
  <c r="E56" i="7"/>
  <c r="F55" i="7"/>
  <c r="E55" i="7"/>
  <c r="I48" i="7"/>
  <c r="I49" i="7" s="1"/>
  <c r="B48" i="7"/>
  <c r="B49" i="7" s="1"/>
  <c r="I46" i="7"/>
  <c r="I45" i="7" s="1"/>
  <c r="B46" i="7"/>
  <c r="B45" i="7"/>
  <c r="M44" i="7"/>
  <c r="N44" i="7" s="1"/>
  <c r="K44" i="7"/>
  <c r="J44" i="7" s="1"/>
  <c r="F44" i="7"/>
  <c r="G44" i="7" s="1"/>
  <c r="D44" i="7"/>
  <c r="C44" i="7" s="1"/>
  <c r="K36" i="7"/>
  <c r="K31" i="7"/>
  <c r="I23" i="7"/>
  <c r="E57" i="7"/>
  <c r="D57" i="7"/>
  <c r="E17" i="7"/>
  <c r="H8" i="7"/>
  <c r="F8" i="7"/>
  <c r="E8" i="7"/>
  <c r="P11" i="4"/>
  <c r="N11" i="4"/>
  <c r="O11" i="4"/>
  <c r="L11" i="4"/>
  <c r="K11" i="4"/>
  <c r="J11" i="4"/>
  <c r="H11" i="4"/>
  <c r="G11" i="4"/>
  <c r="F11" i="4"/>
  <c r="F11" i="1"/>
  <c r="I11" i="1"/>
  <c r="H11" i="1"/>
  <c r="G11" i="1"/>
  <c r="X21" i="4"/>
  <c r="W21" i="4"/>
  <c r="V21" i="4"/>
  <c r="X20" i="4"/>
  <c r="W20" i="4"/>
  <c r="V20" i="4"/>
  <c r="U21" i="4"/>
  <c r="U20" i="4"/>
  <c r="N20" i="4"/>
  <c r="O20" i="4"/>
  <c r="P20" i="4"/>
  <c r="N21" i="4"/>
  <c r="O21" i="4"/>
  <c r="P21" i="4"/>
  <c r="X39" i="4"/>
  <c r="W39" i="4"/>
  <c r="V39" i="4"/>
  <c r="X38" i="4"/>
  <c r="W38" i="4"/>
  <c r="V38" i="4"/>
  <c r="X36" i="4"/>
  <c r="W36" i="4"/>
  <c r="V36" i="4"/>
  <c r="X35" i="4"/>
  <c r="W35" i="4"/>
  <c r="V35" i="4"/>
  <c r="X31" i="4"/>
  <c r="W31" i="4"/>
  <c r="V31" i="4"/>
  <c r="X30" i="4"/>
  <c r="W30" i="4"/>
  <c r="V30" i="4"/>
  <c r="U39" i="4"/>
  <c r="U38" i="4"/>
  <c r="U36" i="4"/>
  <c r="U35" i="4"/>
  <c r="U31" i="4"/>
  <c r="U30" i="4"/>
  <c r="L39" i="4"/>
  <c r="L38" i="4"/>
  <c r="L36" i="4"/>
  <c r="L35" i="4"/>
  <c r="L31" i="4"/>
  <c r="L30" i="4"/>
  <c r="F25" i="4"/>
  <c r="G25" i="4"/>
  <c r="H25" i="4"/>
  <c r="F26" i="4"/>
  <c r="G26" i="4"/>
  <c r="H26" i="4"/>
  <c r="F27" i="4"/>
  <c r="G27" i="4"/>
  <c r="H27" i="4"/>
  <c r="F28" i="4"/>
  <c r="G28" i="4"/>
  <c r="H28" i="4"/>
  <c r="H24" i="4"/>
  <c r="G24" i="4"/>
  <c r="F24" i="4"/>
  <c r="J25" i="4"/>
  <c r="K25" i="4"/>
  <c r="L25" i="4"/>
  <c r="J26" i="4"/>
  <c r="K26" i="4"/>
  <c r="L26" i="4"/>
  <c r="J27" i="4"/>
  <c r="K27" i="4"/>
  <c r="K35" i="4" s="1"/>
  <c r="L27" i="4"/>
  <c r="J28" i="4"/>
  <c r="K28" i="4"/>
  <c r="L28" i="4"/>
  <c r="L24" i="4"/>
  <c r="K24" i="4"/>
  <c r="J24" i="4"/>
  <c r="P39" i="4"/>
  <c r="P38" i="4"/>
  <c r="P36" i="4"/>
  <c r="P35" i="4"/>
  <c r="P31" i="4"/>
  <c r="P30" i="4"/>
  <c r="N25" i="4"/>
  <c r="O25" i="4"/>
  <c r="P25" i="4"/>
  <c r="N26" i="4"/>
  <c r="O26" i="4"/>
  <c r="P26" i="4"/>
  <c r="N27" i="4"/>
  <c r="O27" i="4"/>
  <c r="P27" i="4"/>
  <c r="N28" i="4"/>
  <c r="O28" i="4"/>
  <c r="P28" i="4"/>
  <c r="P24" i="4"/>
  <c r="O24" i="4"/>
  <c r="N24" i="4"/>
  <c r="X25" i="4"/>
  <c r="X26" i="4"/>
  <c r="X27" i="4"/>
  <c r="X28" i="4"/>
  <c r="X24" i="4"/>
  <c r="W28" i="4"/>
  <c r="W27" i="4"/>
  <c r="W26" i="4"/>
  <c r="W25" i="4"/>
  <c r="W24" i="4"/>
  <c r="V28" i="4"/>
  <c r="V27" i="4"/>
  <c r="V26" i="4"/>
  <c r="V25" i="4"/>
  <c r="V24" i="4"/>
  <c r="U28" i="4"/>
  <c r="U27" i="4"/>
  <c r="U26" i="4"/>
  <c r="U25" i="4"/>
  <c r="U24" i="4"/>
  <c r="X11" i="4"/>
  <c r="X18" i="4"/>
  <c r="X17" i="4"/>
  <c r="X16" i="4"/>
  <c r="X15" i="4"/>
  <c r="X14" i="4"/>
  <c r="W15" i="4"/>
  <c r="W16" i="4"/>
  <c r="W17" i="4"/>
  <c r="W18" i="4"/>
  <c r="W14" i="4"/>
  <c r="V18" i="4"/>
  <c r="V17" i="4"/>
  <c r="V16" i="4"/>
  <c r="V15" i="4"/>
  <c r="V14" i="4"/>
  <c r="U15" i="4"/>
  <c r="U16" i="4"/>
  <c r="U17" i="4"/>
  <c r="U18" i="4"/>
  <c r="U14" i="4"/>
  <c r="S11" i="4"/>
  <c r="S27" i="4"/>
  <c r="P18" i="4"/>
  <c r="P17" i="4"/>
  <c r="P16" i="4"/>
  <c r="P15" i="4"/>
  <c r="P14" i="4"/>
  <c r="O15" i="4"/>
  <c r="O16" i="4"/>
  <c r="O17" i="4"/>
  <c r="O18" i="4"/>
  <c r="O14" i="4"/>
  <c r="N15" i="4"/>
  <c r="N16" i="4"/>
  <c r="N17" i="4"/>
  <c r="N18" i="4"/>
  <c r="N14" i="4"/>
  <c r="L15" i="4"/>
  <c r="L16" i="4"/>
  <c r="L17" i="4"/>
  <c r="L18" i="4"/>
  <c r="L14" i="4"/>
  <c r="K15" i="4"/>
  <c r="K16" i="4"/>
  <c r="K17" i="4"/>
  <c r="K18" i="4"/>
  <c r="K14" i="4"/>
  <c r="J15" i="4"/>
  <c r="J16" i="4"/>
  <c r="J17" i="4"/>
  <c r="J18" i="4"/>
  <c r="J14" i="4"/>
  <c r="F15" i="4"/>
  <c r="F16" i="4"/>
  <c r="F17" i="4"/>
  <c r="F18" i="4"/>
  <c r="F14" i="4"/>
  <c r="G15" i="4"/>
  <c r="G16" i="4"/>
  <c r="G17" i="4"/>
  <c r="G18" i="4"/>
  <c r="G14" i="4"/>
  <c r="H15" i="4"/>
  <c r="H16" i="4"/>
  <c r="H17" i="4"/>
  <c r="H18" i="4"/>
  <c r="H14" i="4"/>
  <c r="P28" i="2"/>
  <c r="P27" i="2"/>
  <c r="P26" i="2"/>
  <c r="P25" i="2"/>
  <c r="P24" i="2"/>
  <c r="O25" i="2"/>
  <c r="O26" i="2"/>
  <c r="O27" i="2"/>
  <c r="O28" i="2"/>
  <c r="O24" i="2"/>
  <c r="N25" i="2"/>
  <c r="N26" i="2"/>
  <c r="N27" i="2"/>
  <c r="N28" i="2"/>
  <c r="N24" i="2"/>
  <c r="L25" i="2"/>
  <c r="L26" i="2"/>
  <c r="L27" i="2"/>
  <c r="L28" i="2"/>
  <c r="L24" i="2"/>
  <c r="K25" i="2"/>
  <c r="K26" i="2"/>
  <c r="K27" i="2"/>
  <c r="K28" i="2"/>
  <c r="K24" i="2"/>
  <c r="J25" i="2"/>
  <c r="J26" i="2"/>
  <c r="J27" i="2"/>
  <c r="J28" i="2"/>
  <c r="J24" i="2"/>
  <c r="F25" i="2"/>
  <c r="F26" i="2"/>
  <c r="F27" i="2"/>
  <c r="F28" i="2"/>
  <c r="F24" i="2"/>
  <c r="H25" i="2"/>
  <c r="H26" i="2"/>
  <c r="H27" i="2"/>
  <c r="H28" i="2"/>
  <c r="H24" i="2"/>
  <c r="G25" i="2"/>
  <c r="G26" i="2"/>
  <c r="G27" i="2"/>
  <c r="G28" i="2"/>
  <c r="G24" i="2"/>
  <c r="V25" i="2"/>
  <c r="X39" i="2"/>
  <c r="W39" i="2"/>
  <c r="V39" i="2"/>
  <c r="X38" i="2"/>
  <c r="W38" i="2"/>
  <c r="V38" i="2"/>
  <c r="X36" i="2"/>
  <c r="W36" i="2"/>
  <c r="V36" i="2"/>
  <c r="X35" i="2"/>
  <c r="W35" i="2"/>
  <c r="V35" i="2"/>
  <c r="U39" i="2"/>
  <c r="U38" i="2"/>
  <c r="U36" i="2"/>
  <c r="U35" i="2"/>
  <c r="N35" i="2"/>
  <c r="O35" i="2"/>
  <c r="N36" i="2"/>
  <c r="O36" i="2"/>
  <c r="X31" i="2"/>
  <c r="W31" i="2"/>
  <c r="X30" i="2"/>
  <c r="W30" i="2"/>
  <c r="V31" i="2"/>
  <c r="U31" i="2"/>
  <c r="V30" i="2"/>
  <c r="U30" i="2"/>
  <c r="X25" i="2"/>
  <c r="X26" i="2"/>
  <c r="X27" i="2"/>
  <c r="X28" i="2"/>
  <c r="X24" i="2"/>
  <c r="W25" i="2"/>
  <c r="W26" i="2"/>
  <c r="W27" i="2"/>
  <c r="W28" i="2"/>
  <c r="W24" i="2"/>
  <c r="U25" i="2"/>
  <c r="U26" i="2"/>
  <c r="U27" i="2"/>
  <c r="U28" i="2"/>
  <c r="U24" i="2"/>
  <c r="V26" i="2"/>
  <c r="V27" i="2"/>
  <c r="V28" i="2"/>
  <c r="V24" i="2"/>
  <c r="T39" i="1"/>
  <c r="S39" i="1"/>
  <c r="R39" i="1"/>
  <c r="T38" i="1"/>
  <c r="S38" i="1"/>
  <c r="R38" i="1"/>
  <c r="T36" i="1"/>
  <c r="S36" i="1"/>
  <c r="R36" i="1"/>
  <c r="T35" i="1"/>
  <c r="S35" i="1"/>
  <c r="R35" i="1"/>
  <c r="T31" i="1"/>
  <c r="S31" i="1"/>
  <c r="R31" i="1"/>
  <c r="T30" i="1"/>
  <c r="S30" i="1"/>
  <c r="R30" i="1"/>
  <c r="Q39" i="1"/>
  <c r="P39" i="1"/>
  <c r="O39" i="1"/>
  <c r="Q38" i="1"/>
  <c r="P38" i="1"/>
  <c r="O38" i="1"/>
  <c r="Q36" i="1"/>
  <c r="P36" i="1"/>
  <c r="O36" i="1"/>
  <c r="Q35" i="1"/>
  <c r="P35" i="1"/>
  <c r="O35" i="1"/>
  <c r="Q31" i="1"/>
  <c r="P31" i="1"/>
  <c r="O31" i="1"/>
  <c r="Q30" i="1"/>
  <c r="P30" i="1"/>
  <c r="O30" i="1"/>
  <c r="M39" i="1"/>
  <c r="L39" i="1"/>
  <c r="K39" i="1"/>
  <c r="M38" i="1"/>
  <c r="L38" i="1"/>
  <c r="K38" i="1"/>
  <c r="M36" i="1"/>
  <c r="L36" i="1"/>
  <c r="K36" i="1"/>
  <c r="M35" i="1"/>
  <c r="L35" i="1"/>
  <c r="K35" i="1"/>
  <c r="M31" i="1"/>
  <c r="L31" i="1"/>
  <c r="K31" i="1"/>
  <c r="M30" i="1"/>
  <c r="L30" i="1"/>
  <c r="K30" i="1"/>
  <c r="S25" i="1"/>
  <c r="S26" i="1"/>
  <c r="S27" i="1"/>
  <c r="S28" i="1"/>
  <c r="S24" i="1"/>
  <c r="T25" i="1"/>
  <c r="T26" i="1"/>
  <c r="T27" i="1"/>
  <c r="T28" i="1"/>
  <c r="T24" i="1"/>
  <c r="R25" i="1"/>
  <c r="R26" i="1"/>
  <c r="R27" i="1"/>
  <c r="R28" i="1"/>
  <c r="R24" i="1"/>
  <c r="Q28" i="1"/>
  <c r="Q27" i="1"/>
  <c r="Q26" i="1"/>
  <c r="Q25" i="1"/>
  <c r="Q24" i="1"/>
  <c r="P25" i="1"/>
  <c r="P26" i="1"/>
  <c r="P27" i="1"/>
  <c r="P28" i="1"/>
  <c r="P24" i="1"/>
  <c r="O25" i="1"/>
  <c r="O26" i="1"/>
  <c r="O27" i="1"/>
  <c r="O28" i="1"/>
  <c r="O24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I28" i="1"/>
  <c r="I27" i="1"/>
  <c r="I26" i="1"/>
  <c r="I25" i="1"/>
  <c r="I24" i="1"/>
  <c r="H28" i="1"/>
  <c r="H27" i="1"/>
  <c r="H26" i="1"/>
  <c r="H25" i="1"/>
  <c r="H24" i="1"/>
  <c r="G28" i="1"/>
  <c r="G27" i="1"/>
  <c r="G26" i="1"/>
  <c r="G25" i="1"/>
  <c r="G24" i="1"/>
  <c r="F25" i="1"/>
  <c r="F26" i="1"/>
  <c r="F27" i="1"/>
  <c r="F28" i="1"/>
  <c r="F24" i="1"/>
  <c r="C25" i="1"/>
  <c r="C26" i="1"/>
  <c r="C27" i="1"/>
  <c r="C28" i="1"/>
  <c r="C24" i="1"/>
  <c r="D25" i="1"/>
  <c r="D26" i="1"/>
  <c r="D27" i="1"/>
  <c r="D28" i="1"/>
  <c r="D24" i="1"/>
  <c r="W47" i="5"/>
  <c r="V47" i="5"/>
  <c r="U47" i="5"/>
  <c r="W46" i="5"/>
  <c r="V46" i="5"/>
  <c r="U46" i="5"/>
  <c r="W45" i="5"/>
  <c r="V45" i="5"/>
  <c r="U45" i="5"/>
  <c r="W44" i="5"/>
  <c r="V44" i="5"/>
  <c r="U44" i="5"/>
  <c r="W43" i="5"/>
  <c r="V43" i="5"/>
  <c r="U43" i="5"/>
  <c r="F47" i="5"/>
  <c r="F46" i="5"/>
  <c r="F45" i="5"/>
  <c r="F44" i="5"/>
  <c r="F43" i="5"/>
  <c r="E47" i="5"/>
  <c r="E46" i="5"/>
  <c r="E45" i="5"/>
  <c r="E44" i="5"/>
  <c r="E43" i="5"/>
  <c r="T47" i="5"/>
  <c r="T46" i="5"/>
  <c r="AC47" i="5"/>
  <c r="AC46" i="5"/>
  <c r="AC45" i="5"/>
  <c r="AC44" i="5"/>
  <c r="AC43" i="5"/>
  <c r="D36" i="2"/>
  <c r="D39" i="2"/>
  <c r="D38" i="2"/>
  <c r="D35" i="2"/>
  <c r="P15" i="2"/>
  <c r="P16" i="2"/>
  <c r="P17" i="2"/>
  <c r="P18" i="2"/>
  <c r="P14" i="2"/>
  <c r="O15" i="2"/>
  <c r="O16" i="2"/>
  <c r="O17" i="2"/>
  <c r="O18" i="2"/>
  <c r="O14" i="2"/>
  <c r="N15" i="2"/>
  <c r="N16" i="2"/>
  <c r="N17" i="2"/>
  <c r="N18" i="2"/>
  <c r="N14" i="2"/>
  <c r="L16" i="2"/>
  <c r="L17" i="2"/>
  <c r="L14" i="2"/>
  <c r="K15" i="2"/>
  <c r="K16" i="2"/>
  <c r="K17" i="2"/>
  <c r="K18" i="2"/>
  <c r="K14" i="2"/>
  <c r="J15" i="2"/>
  <c r="J16" i="2"/>
  <c r="J17" i="2"/>
  <c r="J18" i="2"/>
  <c r="J14" i="2"/>
  <c r="T40" i="5"/>
  <c r="T37" i="5"/>
  <c r="L15" i="2" s="1"/>
  <c r="F15" i="2"/>
  <c r="F16" i="2"/>
  <c r="F17" i="2"/>
  <c r="F14" i="2"/>
  <c r="H15" i="2"/>
  <c r="H16" i="2"/>
  <c r="H17" i="2"/>
  <c r="H18" i="2"/>
  <c r="H14" i="2"/>
  <c r="G15" i="2"/>
  <c r="G16" i="2"/>
  <c r="G17" i="2"/>
  <c r="G18" i="2"/>
  <c r="G14" i="2"/>
  <c r="AC38" i="5"/>
  <c r="AC39" i="5"/>
  <c r="AC40" i="5"/>
  <c r="AC37" i="5"/>
  <c r="AC36" i="5"/>
  <c r="L11" i="2"/>
  <c r="K11" i="2"/>
  <c r="J11" i="2"/>
  <c r="D11" i="2"/>
  <c r="W37" i="5"/>
  <c r="W38" i="5"/>
  <c r="W39" i="5"/>
  <c r="W40" i="5"/>
  <c r="W36" i="5"/>
  <c r="U37" i="5"/>
  <c r="U38" i="5"/>
  <c r="U39" i="5"/>
  <c r="U40" i="5"/>
  <c r="U36" i="5"/>
  <c r="V37" i="5"/>
  <c r="V38" i="5"/>
  <c r="V39" i="5"/>
  <c r="V40" i="5"/>
  <c r="V36" i="5"/>
  <c r="R15" i="1"/>
  <c r="R16" i="1"/>
  <c r="R17" i="1"/>
  <c r="R18" i="1"/>
  <c r="R14" i="1"/>
  <c r="Q15" i="1"/>
  <c r="Q16" i="1"/>
  <c r="Q17" i="1"/>
  <c r="Q18" i="1"/>
  <c r="Q14" i="1"/>
  <c r="P15" i="1"/>
  <c r="P16" i="1"/>
  <c r="P17" i="1"/>
  <c r="P18" i="1"/>
  <c r="P14" i="1"/>
  <c r="O15" i="1"/>
  <c r="O16" i="1"/>
  <c r="O17" i="1"/>
  <c r="O18" i="1"/>
  <c r="O14" i="1"/>
  <c r="I18" i="1"/>
  <c r="H18" i="1"/>
  <c r="G18" i="1"/>
  <c r="F18" i="1"/>
  <c r="I17" i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E40" i="5"/>
  <c r="E39" i="5"/>
  <c r="E38" i="5"/>
  <c r="E37" i="5"/>
  <c r="E36" i="5"/>
  <c r="D26" i="5"/>
  <c r="C11" i="1" s="1"/>
  <c r="D24" i="5"/>
  <c r="D19" i="5"/>
  <c r="R11" i="1"/>
  <c r="Q11" i="1"/>
  <c r="P11" i="1"/>
  <c r="O11" i="1"/>
  <c r="K12" i="5"/>
  <c r="I17" i="5"/>
  <c r="J15" i="5"/>
  <c r="K15" i="5" s="1"/>
  <c r="I15" i="5"/>
  <c r="J14" i="5"/>
  <c r="K14" i="5" s="1"/>
  <c r="I14" i="5"/>
  <c r="J12" i="5"/>
  <c r="I12" i="5"/>
  <c r="I13" i="5"/>
  <c r="I16" i="5" s="1"/>
  <c r="I20" i="5"/>
  <c r="K21" i="5"/>
  <c r="K19" i="5"/>
  <c r="J20" i="5"/>
  <c r="K20" i="5" s="1"/>
  <c r="J17" i="5"/>
  <c r="J13" i="5"/>
  <c r="K13" i="5"/>
  <c r="K16" i="5" s="1"/>
  <c r="J10" i="5"/>
  <c r="K10" i="5" s="1"/>
  <c r="I10" i="5"/>
  <c r="C28" i="4"/>
  <c r="C27" i="4"/>
  <c r="C26" i="4"/>
  <c r="C25" i="4"/>
  <c r="C24" i="4"/>
  <c r="C18" i="4"/>
  <c r="C17" i="4"/>
  <c r="O35" i="4"/>
  <c r="N35" i="4"/>
  <c r="C16" i="4"/>
  <c r="C15" i="4"/>
  <c r="C14" i="4"/>
  <c r="C11" i="4"/>
  <c r="C28" i="2"/>
  <c r="S27" i="2"/>
  <c r="C27" i="2"/>
  <c r="C26" i="2"/>
  <c r="C25" i="2"/>
  <c r="C24" i="2"/>
  <c r="C18" i="2"/>
  <c r="C17" i="2"/>
  <c r="C16" i="2"/>
  <c r="C15" i="2"/>
  <c r="C14" i="2"/>
  <c r="S11" i="2"/>
  <c r="C11" i="2"/>
  <c r="L19" i="7" l="1"/>
  <c r="L59" i="7" s="1"/>
  <c r="L57" i="7"/>
  <c r="K16" i="8"/>
  <c r="K15" i="8"/>
  <c r="H22" i="8" s="1"/>
  <c r="K22" i="8" s="1"/>
  <c r="C21" i="8" s="1"/>
  <c r="C23" i="8" s="1"/>
  <c r="C26" i="8" s="1"/>
  <c r="D22" i="7" s="1"/>
  <c r="D35" i="7" s="1"/>
  <c r="M7" i="7"/>
  <c r="N7" i="7" s="1"/>
  <c r="L55" i="7"/>
  <c r="L11" i="7"/>
  <c r="L56" i="7" s="1"/>
  <c r="D56" i="7"/>
  <c r="D17" i="7"/>
  <c r="J58" i="7"/>
  <c r="K58" i="7" s="1"/>
  <c r="L58" i="7" s="1"/>
  <c r="M58" i="7" s="1"/>
  <c r="I8" i="7"/>
  <c r="I17" i="7"/>
  <c r="H17" i="7"/>
  <c r="F56" i="7"/>
  <c r="F17" i="7"/>
  <c r="G9" i="7"/>
  <c r="J23" i="7"/>
  <c r="J35" i="4"/>
  <c r="O31" i="4"/>
  <c r="O30" i="4"/>
  <c r="N30" i="4"/>
  <c r="N31" i="4"/>
  <c r="K31" i="4"/>
  <c r="K30" i="4"/>
  <c r="J30" i="4"/>
  <c r="J31" i="4"/>
  <c r="H30" i="4"/>
  <c r="H31" i="4"/>
  <c r="G38" i="4"/>
  <c r="G30" i="4"/>
  <c r="G31" i="4"/>
  <c r="F30" i="4"/>
  <c r="F31" i="4"/>
  <c r="D30" i="4"/>
  <c r="D38" i="4"/>
  <c r="D35" i="4"/>
  <c r="D36" i="4"/>
  <c r="D31" i="4"/>
  <c r="D39" i="4"/>
  <c r="O39" i="4"/>
  <c r="O38" i="4"/>
  <c r="O36" i="4"/>
  <c r="N39" i="4"/>
  <c r="N36" i="4"/>
  <c r="N38" i="4"/>
  <c r="K36" i="4"/>
  <c r="K38" i="4"/>
  <c r="K39" i="4"/>
  <c r="J38" i="4"/>
  <c r="J36" i="4"/>
  <c r="J39" i="4"/>
  <c r="H21" i="4"/>
  <c r="H20" i="4"/>
  <c r="H39" i="4"/>
  <c r="H38" i="4"/>
  <c r="H36" i="4"/>
  <c r="H35" i="4"/>
  <c r="G21" i="4"/>
  <c r="G20" i="4"/>
  <c r="G39" i="4"/>
  <c r="G36" i="4"/>
  <c r="G35" i="4"/>
  <c r="F21" i="4"/>
  <c r="F39" i="4"/>
  <c r="F38" i="4"/>
  <c r="F36" i="4"/>
  <c r="F35" i="4"/>
  <c r="F20" i="4"/>
  <c r="J39" i="2"/>
  <c r="J38" i="2"/>
  <c r="J35" i="2"/>
  <c r="J36" i="2"/>
  <c r="H36" i="2"/>
  <c r="H35" i="2"/>
  <c r="G35" i="2"/>
  <c r="G36" i="2"/>
  <c r="K39" i="2"/>
  <c r="K38" i="2"/>
  <c r="K36" i="2"/>
  <c r="K35" i="2"/>
  <c r="S15" i="1"/>
  <c r="W15" i="2"/>
  <c r="S16" i="1"/>
  <c r="W16" i="2"/>
  <c r="S17" i="1"/>
  <c r="W17" i="2"/>
  <c r="S18" i="1"/>
  <c r="W18" i="2"/>
  <c r="S14" i="1"/>
  <c r="W14" i="2"/>
  <c r="C18" i="1"/>
  <c r="F40" i="5"/>
  <c r="C17" i="1"/>
  <c r="D17" i="1" s="1"/>
  <c r="F39" i="5"/>
  <c r="C16" i="1"/>
  <c r="D16" i="1" s="1"/>
  <c r="F38" i="5"/>
  <c r="C15" i="1"/>
  <c r="F37" i="5"/>
  <c r="C14" i="1"/>
  <c r="D14" i="1" s="1"/>
  <c r="F36" i="5"/>
  <c r="W20" i="2"/>
  <c r="W21" i="2"/>
  <c r="X15" i="2"/>
  <c r="V15" i="2"/>
  <c r="U15" i="2"/>
  <c r="X16" i="2"/>
  <c r="V16" i="2"/>
  <c r="U16" i="2"/>
  <c r="X17" i="2"/>
  <c r="V17" i="2"/>
  <c r="U17" i="2"/>
  <c r="X18" i="2"/>
  <c r="V18" i="2"/>
  <c r="U18" i="2"/>
  <c r="X14" i="2"/>
  <c r="V14" i="2"/>
  <c r="U14" i="2"/>
  <c r="T15" i="1"/>
  <c r="T16" i="1"/>
  <c r="T17" i="1"/>
  <c r="T18" i="1"/>
  <c r="T14" i="1"/>
  <c r="P35" i="2"/>
  <c r="P38" i="2"/>
  <c r="P36" i="2"/>
  <c r="P39" i="2"/>
  <c r="O39" i="2"/>
  <c r="O38" i="2"/>
  <c r="N38" i="2"/>
  <c r="N39" i="2"/>
  <c r="F18" i="2"/>
  <c r="L18" i="2"/>
  <c r="L35" i="2"/>
  <c r="L39" i="2"/>
  <c r="L36" i="2"/>
  <c r="L38" i="2"/>
  <c r="H38" i="2"/>
  <c r="H39" i="2"/>
  <c r="G39" i="2"/>
  <c r="G38" i="2"/>
  <c r="D18" i="1"/>
  <c r="D15" i="1"/>
  <c r="O11" i="2"/>
  <c r="N11" i="2"/>
  <c r="L17" i="1"/>
  <c r="L16" i="1"/>
  <c r="L18" i="1"/>
  <c r="K18" i="1"/>
  <c r="M17" i="1"/>
  <c r="K17" i="1"/>
  <c r="M16" i="1"/>
  <c r="K16" i="1"/>
  <c r="M15" i="1"/>
  <c r="L15" i="1"/>
  <c r="K15" i="1"/>
  <c r="M18" i="1"/>
  <c r="M14" i="1"/>
  <c r="L14" i="1"/>
  <c r="K14" i="1"/>
  <c r="K11" i="1"/>
  <c r="J16" i="5"/>
  <c r="D31" i="5"/>
  <c r="K18" i="5"/>
  <c r="I18" i="5"/>
  <c r="J18" i="5"/>
  <c r="J22" i="5" s="1"/>
  <c r="L20" i="4"/>
  <c r="L21" i="4"/>
  <c r="K20" i="4"/>
  <c r="K21" i="4"/>
  <c r="J21" i="4"/>
  <c r="J20" i="4"/>
  <c r="D21" i="4"/>
  <c r="D20" i="4"/>
  <c r="P30" i="2"/>
  <c r="P31" i="2"/>
  <c r="O30" i="2"/>
  <c r="O31" i="2"/>
  <c r="N31" i="2"/>
  <c r="N30" i="2"/>
  <c r="L31" i="2"/>
  <c r="L30" i="2"/>
  <c r="K31" i="2"/>
  <c r="K30" i="2"/>
  <c r="J31" i="2"/>
  <c r="J30" i="2"/>
  <c r="H31" i="2"/>
  <c r="H30" i="2"/>
  <c r="G31" i="2"/>
  <c r="G30" i="2"/>
  <c r="F31" i="2"/>
  <c r="F30" i="2"/>
  <c r="D31" i="2"/>
  <c r="D30" i="2"/>
  <c r="P20" i="2"/>
  <c r="P21" i="2"/>
  <c r="O20" i="2"/>
  <c r="O21" i="2"/>
  <c r="N20" i="2"/>
  <c r="N21" i="2"/>
  <c r="L21" i="2"/>
  <c r="L20" i="2"/>
  <c r="K20" i="2"/>
  <c r="K21" i="2"/>
  <c r="J20" i="2"/>
  <c r="J21" i="2"/>
  <c r="H20" i="2"/>
  <c r="H21" i="2"/>
  <c r="G21" i="2"/>
  <c r="G20" i="2"/>
  <c r="F20" i="2"/>
  <c r="F21" i="2"/>
  <c r="D21" i="2"/>
  <c r="D20" i="2"/>
  <c r="M55" i="7" l="1"/>
  <c r="M19" i="7"/>
  <c r="M59" i="7" s="1"/>
  <c r="M57" i="7"/>
  <c r="M11" i="7"/>
  <c r="M56" i="7" s="1"/>
  <c r="D32" i="7"/>
  <c r="D34" i="7" s="1"/>
  <c r="I24" i="7"/>
  <c r="J24" i="7"/>
  <c r="N30" i="7"/>
  <c r="J8" i="7"/>
  <c r="J17" i="7"/>
  <c r="H10" i="7"/>
  <c r="F10" i="7"/>
  <c r="G12" i="7"/>
  <c r="E10" i="7"/>
  <c r="D10" i="7"/>
  <c r="K23" i="7"/>
  <c r="K24" i="7" s="1"/>
  <c r="X21" i="2"/>
  <c r="X20" i="2"/>
  <c r="V20" i="2"/>
  <c r="V21" i="2"/>
  <c r="U20" i="2"/>
  <c r="U21" i="2"/>
  <c r="F39" i="2"/>
  <c r="F35" i="2"/>
  <c r="F38" i="2"/>
  <c r="F36" i="2"/>
  <c r="L11" i="1"/>
  <c r="P11" i="2"/>
  <c r="J26" i="5"/>
  <c r="W11" i="2" s="1"/>
  <c r="H11" i="2"/>
  <c r="G11" i="2"/>
  <c r="K22" i="5"/>
  <c r="K26" i="5" s="1"/>
  <c r="K23" i="5"/>
  <c r="U11" i="4"/>
  <c r="D11" i="1"/>
  <c r="V11" i="4"/>
  <c r="X11" i="2"/>
  <c r="M11" i="1"/>
  <c r="I22" i="5"/>
  <c r="I26" i="5" s="1"/>
  <c r="I23" i="5"/>
  <c r="J23" i="5"/>
  <c r="F11" i="2" s="1"/>
  <c r="O21" i="1"/>
  <c r="K8" i="7" l="1"/>
  <c r="K17" i="7"/>
  <c r="I10" i="7"/>
  <c r="H13" i="7"/>
  <c r="H14" i="7"/>
  <c r="H15" i="7" s="1"/>
  <c r="F14" i="7"/>
  <c r="F15" i="7" s="1"/>
  <c r="F13" i="7"/>
  <c r="E13" i="7"/>
  <c r="E14" i="7"/>
  <c r="E15" i="7" s="1"/>
  <c r="D13" i="7"/>
  <c r="D14" i="7"/>
  <c r="D15" i="7" s="1"/>
  <c r="L23" i="7"/>
  <c r="L24" i="7" s="1"/>
  <c r="W11" i="4"/>
  <c r="T11" i="1"/>
  <c r="S11" i="1"/>
  <c r="P20" i="1"/>
  <c r="P21" i="1"/>
  <c r="O20" i="1"/>
  <c r="G15" i="7" l="1"/>
  <c r="L17" i="7"/>
  <c r="J10" i="7"/>
  <c r="I13" i="7"/>
  <c r="I14" i="7"/>
  <c r="I15" i="7" s="1"/>
  <c r="I21" i="7" s="1"/>
  <c r="I25" i="7" s="1"/>
  <c r="K29" i="7"/>
  <c r="M23" i="7"/>
  <c r="M24" i="7" s="1"/>
  <c r="A32" i="7"/>
  <c r="M17" i="7" l="1"/>
  <c r="K10" i="7"/>
  <c r="J13" i="7"/>
  <c r="J14" i="7"/>
  <c r="J15" i="7" s="1"/>
  <c r="J21" i="7" s="1"/>
  <c r="J25" i="7" s="1"/>
  <c r="K13" i="7" l="1"/>
  <c r="K14" i="7"/>
  <c r="K15" i="7" s="1"/>
  <c r="K21" i="7" s="1"/>
  <c r="K25" i="7" s="1"/>
  <c r="R21" i="1"/>
  <c r="R20" i="1"/>
  <c r="Q21" i="1"/>
  <c r="Q20" i="1"/>
  <c r="L14" i="7" l="1"/>
  <c r="L15" i="7" s="1"/>
  <c r="L21" i="7" s="1"/>
  <c r="L25" i="7" s="1"/>
  <c r="L20" i="1"/>
  <c r="L21" i="1"/>
  <c r="D36" i="7" l="1"/>
  <c r="N31" i="7"/>
  <c r="M14" i="7"/>
  <c r="M15" i="7" s="1"/>
  <c r="M20" i="1"/>
  <c r="M21" i="1"/>
  <c r="K20" i="1"/>
  <c r="K21" i="1"/>
  <c r="T21" i="1"/>
  <c r="T20" i="1"/>
  <c r="S20" i="1"/>
  <c r="S21" i="1"/>
  <c r="M21" i="7" l="1"/>
  <c r="N29" i="7" l="1"/>
  <c r="N33" i="7" s="1"/>
  <c r="I44" i="7" s="1"/>
  <c r="M25" i="7"/>
  <c r="D29" i="7" s="1"/>
  <c r="D39" i="7" s="1"/>
  <c r="I29" i="7" s="1"/>
  <c r="I35" i="7" s="1"/>
  <c r="N36" i="7" l="1"/>
  <c r="N39" i="7" s="1"/>
  <c r="I39" i="7"/>
  <c r="I40" i="7" s="1"/>
  <c r="B44" i="7"/>
  <c r="D37" i="7"/>
</calcChain>
</file>

<file path=xl/sharedStrings.xml><?xml version="1.0" encoding="utf-8"?>
<sst xmlns="http://schemas.openxmlformats.org/spreadsheetml/2006/main" count="509" uniqueCount="263">
  <si>
    <t>Market Valuation</t>
  </si>
  <si>
    <t>LTM Financial Statistics</t>
  </si>
  <si>
    <t>LTM Profitability Margins</t>
  </si>
  <si>
    <t>Growth Rates</t>
  </si>
  <si>
    <t>Net</t>
  </si>
  <si>
    <t>Sales</t>
  </si>
  <si>
    <t>EBITDA</t>
  </si>
  <si>
    <t>EPS</t>
  </si>
  <si>
    <t xml:space="preserve">Equity </t>
  </si>
  <si>
    <t>Enterprise</t>
  </si>
  <si>
    <t>EBIT</t>
  </si>
  <si>
    <t>Income</t>
  </si>
  <si>
    <t>Hist.</t>
  </si>
  <si>
    <t>Est.</t>
  </si>
  <si>
    <t>Company</t>
  </si>
  <si>
    <t>Ticker</t>
  </si>
  <si>
    <t>Value</t>
  </si>
  <si>
    <t>(%)</t>
  </si>
  <si>
    <t xml:space="preserve">1-year </t>
  </si>
  <si>
    <t>Mean</t>
  </si>
  <si>
    <t>Median</t>
  </si>
  <si>
    <t>Overall</t>
  </si>
  <si>
    <t>High</t>
  </si>
  <si>
    <t>Low</t>
  </si>
  <si>
    <t>RHEINMETALL AG</t>
  </si>
  <si>
    <t>Benchmarking Analysis – Financial Statistics and Ratios</t>
  </si>
  <si>
    <t>General</t>
  </si>
  <si>
    <t>Return on Investment</t>
  </si>
  <si>
    <t xml:space="preserve">LTM Leverage Ratios </t>
  </si>
  <si>
    <t>LTM Coverage Ratios</t>
  </si>
  <si>
    <t>Credit Ratings</t>
  </si>
  <si>
    <t>Debt /</t>
  </si>
  <si>
    <t xml:space="preserve">Debt / </t>
  </si>
  <si>
    <t xml:space="preserve">Net Debt / </t>
  </si>
  <si>
    <t>EBITDA /</t>
  </si>
  <si>
    <t>EBIT /</t>
  </si>
  <si>
    <t>Predicted</t>
  </si>
  <si>
    <t>ROIC</t>
  </si>
  <si>
    <t>ROE</t>
  </si>
  <si>
    <t>ROA</t>
  </si>
  <si>
    <t>Tot. Cap.</t>
  </si>
  <si>
    <t>Int. Exp.</t>
  </si>
  <si>
    <t>- Cpx/ Int.</t>
  </si>
  <si>
    <t>FYE</t>
  </si>
  <si>
    <t>Beta</t>
  </si>
  <si>
    <t>(x)</t>
  </si>
  <si>
    <t>Moody's</t>
  </si>
  <si>
    <t>S&amp;P</t>
  </si>
  <si>
    <t>LTM Valuation Multiples</t>
  </si>
  <si>
    <t>EV /</t>
  </si>
  <si>
    <t>P/E</t>
  </si>
  <si>
    <t xml:space="preserve">NTM Leverage Ratios </t>
  </si>
  <si>
    <t>NTM  Coverage Ratios</t>
  </si>
  <si>
    <t>NTM Valuation Multiples</t>
  </si>
  <si>
    <t>Input Page</t>
  </si>
  <si>
    <t>General Information</t>
  </si>
  <si>
    <t>Company Name</t>
  </si>
  <si>
    <t>TTT</t>
  </si>
  <si>
    <t>Stock Exchange</t>
  </si>
  <si>
    <t>Fiscal Year Ending</t>
  </si>
  <si>
    <t>Moody's Corporate Rating</t>
  </si>
  <si>
    <t>NA</t>
  </si>
  <si>
    <t>S&amp;P Corporate Rating</t>
  </si>
  <si>
    <t>Predicted Beta</t>
  </si>
  <si>
    <t>Marginal Tax Rate</t>
  </si>
  <si>
    <t>Selected Market Data</t>
  </si>
  <si>
    <t>Current Price</t>
  </si>
  <si>
    <t xml:space="preserve">   % of 52-week High</t>
  </si>
  <si>
    <t>52-week High Price</t>
  </si>
  <si>
    <t>52-week Low Price</t>
  </si>
  <si>
    <t>Dividend Per Share (MRQ)</t>
  </si>
  <si>
    <t>Fully Diluted Shares Outstanding</t>
  </si>
  <si>
    <t xml:space="preserve">   Equity Value</t>
  </si>
  <si>
    <t>Plus: Total Debt</t>
  </si>
  <si>
    <t>Plus: Preferred Stock</t>
  </si>
  <si>
    <t>Less: Cash and Cash Equivalents</t>
  </si>
  <si>
    <t xml:space="preserve">   Enterprise Value</t>
  </si>
  <si>
    <t>Reported Income Statement</t>
  </si>
  <si>
    <t xml:space="preserve">   Gross Profit</t>
  </si>
  <si>
    <t xml:space="preserve">   EBIT</t>
  </si>
  <si>
    <t>Interest Expense</t>
  </si>
  <si>
    <t xml:space="preserve">   Pre-tax Income</t>
  </si>
  <si>
    <t>Income Taxes</t>
  </si>
  <si>
    <t>Noncontrolling Interest</t>
  </si>
  <si>
    <t xml:space="preserve">   Effective Tax Rate</t>
  </si>
  <si>
    <t>Weighted Avg. Diluted Shares</t>
  </si>
  <si>
    <t xml:space="preserve">   Diluted EPS</t>
  </si>
  <si>
    <t>Forecasted Year</t>
  </si>
  <si>
    <t>Fiscal Year Ending (Dec 31)</t>
  </si>
  <si>
    <t xml:space="preserve">COGS </t>
  </si>
  <si>
    <t xml:space="preserve">  Shareholders' Net Income</t>
  </si>
  <si>
    <t>Dicontinued Operations</t>
  </si>
  <si>
    <t>Other Information</t>
  </si>
  <si>
    <t>SG&amp;A &amp; Other expenses</t>
  </si>
  <si>
    <t>Other Income</t>
  </si>
  <si>
    <t>Xetra</t>
  </si>
  <si>
    <t>Baa1</t>
  </si>
  <si>
    <t>Used Share price (31 Dec 2025)</t>
  </si>
  <si>
    <t>Core Trading Reference Group</t>
  </si>
  <si>
    <t>Other Companies Basic Information</t>
  </si>
  <si>
    <t>Price</t>
  </si>
  <si>
    <t>Shares</t>
  </si>
  <si>
    <t>Revenue 2024</t>
  </si>
  <si>
    <t>Revenue 2025</t>
  </si>
  <si>
    <t>Revenue 2026E</t>
  </si>
  <si>
    <t>EBITDA 2024</t>
  </si>
  <si>
    <t>EBITDA 2025</t>
  </si>
  <si>
    <t>EBITDA 2026E</t>
  </si>
  <si>
    <t>EBIT 2024</t>
  </si>
  <si>
    <t>EBIT 2025</t>
  </si>
  <si>
    <t>EBIT 2026E</t>
  </si>
  <si>
    <t>Net Income 2024</t>
  </si>
  <si>
    <t>Net Income 2025</t>
  </si>
  <si>
    <t>Net Income 2026E</t>
  </si>
  <si>
    <t>Leonardo (Italy)</t>
  </si>
  <si>
    <t>Market Cap</t>
  </si>
  <si>
    <t>Saab (Sweden) SEK</t>
  </si>
  <si>
    <t>Kongsberg Gruppen (Norway) NOK</t>
  </si>
  <si>
    <t>Currency</t>
  </si>
  <si>
    <t>EUR</t>
  </si>
  <si>
    <t xml:space="preserve">BAE Systems (UK) </t>
  </si>
  <si>
    <t xml:space="preserve">Thales (France) </t>
  </si>
  <si>
    <t xml:space="preserve">Saab (Sweden) </t>
  </si>
  <si>
    <t xml:space="preserve">Kongsberg Gruppen (Norway) </t>
  </si>
  <si>
    <t>SEK</t>
  </si>
  <si>
    <t>NOK</t>
  </si>
  <si>
    <t>GBP</t>
  </si>
  <si>
    <t>BAE Systems (UK) GBP</t>
  </si>
  <si>
    <t>Thales (France) EUR</t>
  </si>
  <si>
    <t>Leonardo (Italy) EUR</t>
  </si>
  <si>
    <t>EPS 2024</t>
  </si>
  <si>
    <t>EPS 2025</t>
  </si>
  <si>
    <t>EPS 2026E</t>
  </si>
  <si>
    <t>Book Equity</t>
  </si>
  <si>
    <t>Total Assets</t>
  </si>
  <si>
    <t>Book Equity 2024</t>
  </si>
  <si>
    <t xml:space="preserve">Book Equity 2025 </t>
  </si>
  <si>
    <t>Capex</t>
  </si>
  <si>
    <t>Total Assets 2024</t>
  </si>
  <si>
    <t>&lt;-- Didnt include discontinued operations from 2025 (-333) to match peers</t>
  </si>
  <si>
    <t>D&amp;A</t>
  </si>
  <si>
    <t xml:space="preserve">Total Assets 2025 </t>
  </si>
  <si>
    <t>Tax Rate</t>
  </si>
  <si>
    <t>Total Debt</t>
  </si>
  <si>
    <t>Extendend Trading Reference Group</t>
  </si>
  <si>
    <t>EV</t>
  </si>
  <si>
    <t>Lockheed Martin (USD)</t>
  </si>
  <si>
    <t>Northrop Grumman (USD)</t>
  </si>
  <si>
    <t>General Dynamics (USD)</t>
  </si>
  <si>
    <t>Safran (France) (EUR)</t>
  </si>
  <si>
    <t>Rolls-Royce (UK) (GBP)</t>
  </si>
  <si>
    <t xml:space="preserve">Net Debt </t>
  </si>
  <si>
    <t>USD</t>
  </si>
  <si>
    <t>Lockheed Martin (US)</t>
  </si>
  <si>
    <t>Northrop Grumman (US)</t>
  </si>
  <si>
    <t>General Dynamics (US)</t>
  </si>
  <si>
    <t xml:space="preserve">Safran (France) </t>
  </si>
  <si>
    <t xml:space="preserve">Rolls-Royce (UK) </t>
  </si>
  <si>
    <t>A3</t>
  </si>
  <si>
    <t>BBB+</t>
  </si>
  <si>
    <t>A2</t>
  </si>
  <si>
    <t>A</t>
  </si>
  <si>
    <t>BBB/A-2</t>
  </si>
  <si>
    <t>Baa3</t>
  </si>
  <si>
    <t>B-</t>
  </si>
  <si>
    <t>B2</t>
  </si>
  <si>
    <t>BBB</t>
  </si>
  <si>
    <t>A-</t>
  </si>
  <si>
    <t>Baa2</t>
  </si>
  <si>
    <t>NTM Return on Investment</t>
  </si>
  <si>
    <t>Discounted Cash Flow Analysis</t>
  </si>
  <si>
    <t xml:space="preserve">Operating Scenario </t>
  </si>
  <si>
    <t>Historical Period</t>
  </si>
  <si>
    <t>CAGR</t>
  </si>
  <si>
    <t>Projection Period</t>
  </si>
  <si>
    <t xml:space="preserve">   % growth</t>
  </si>
  <si>
    <t xml:space="preserve">   % margin</t>
  </si>
  <si>
    <t>Depreciation &amp; Amortization</t>
  </si>
  <si>
    <t>Taxes</t>
  </si>
  <si>
    <t>Plus: Depreciation &amp; Amortization</t>
  </si>
  <si>
    <t>Less: Capital Expenditures</t>
  </si>
  <si>
    <t>Less: Inc./(Dec.) in Net Working Capital</t>
  </si>
  <si>
    <t>Unlevered Free Cash Flow</t>
  </si>
  <si>
    <t xml:space="preserve">   WACC</t>
  </si>
  <si>
    <t xml:space="preserve">   Discount Period</t>
  </si>
  <si>
    <t xml:space="preserve">   Discount Factor</t>
  </si>
  <si>
    <t xml:space="preserve">   Present Value of Free Cash Flow</t>
  </si>
  <si>
    <t>('22 - '24)</t>
  </si>
  <si>
    <t>('25 - '30)</t>
  </si>
  <si>
    <t>NOPAT</t>
  </si>
  <si>
    <t>Enterprise Value</t>
  </si>
  <si>
    <t>Implied Equity Value and Share Price</t>
  </si>
  <si>
    <t>Implied Perpetuity Growth Rate</t>
  </si>
  <si>
    <t>Cumulative Present Value of FCF</t>
  </si>
  <si>
    <t>Less: Total Debt</t>
  </si>
  <si>
    <t>WACC</t>
  </si>
  <si>
    <t>Terminal Value</t>
  </si>
  <si>
    <t>Less: Preferred Stock</t>
  </si>
  <si>
    <t>Less: Noncontrolling Interest</t>
  </si>
  <si>
    <t>Exit Multiple</t>
  </si>
  <si>
    <t>Plus: Cash and Cash Equivalents</t>
  </si>
  <si>
    <t xml:space="preserve">   Terminal Value</t>
  </si>
  <si>
    <t xml:space="preserve"> </t>
  </si>
  <si>
    <t>Discount Factor</t>
  </si>
  <si>
    <t xml:space="preserve">   Implied Equity Value</t>
  </si>
  <si>
    <t>Implied EV/EBITDA</t>
  </si>
  <si>
    <t xml:space="preserve">   Present Value of Terminal Value</t>
  </si>
  <si>
    <t xml:space="preserve">   % of Enterprise Value</t>
  </si>
  <si>
    <t>Assumptions</t>
  </si>
  <si>
    <t>Sales (% growth)</t>
  </si>
  <si>
    <t>Depreciation &amp; Amortization (% sales)</t>
  </si>
  <si>
    <t>Capital Expenditures (% sales)</t>
  </si>
  <si>
    <t>Working Capital (% sales)</t>
  </si>
  <si>
    <t>Weighted Average Cost of Capital Analysis</t>
  </si>
  <si>
    <t>WACC Calculation</t>
  </si>
  <si>
    <t>Comparable Companies Unlevered Beta</t>
  </si>
  <si>
    <t>Target Capital Structure</t>
  </si>
  <si>
    <t xml:space="preserve">Market </t>
  </si>
  <si>
    <t>Debt/</t>
  </si>
  <si>
    <t>Marginal</t>
  </si>
  <si>
    <t>Unlevered</t>
  </si>
  <si>
    <t>Debt-to-Total Capitalization</t>
  </si>
  <si>
    <t>Levered Beta (4)</t>
  </si>
  <si>
    <t>Value of Debt</t>
  </si>
  <si>
    <t>Value of Equity</t>
  </si>
  <si>
    <t>Equity</t>
  </si>
  <si>
    <t>Equity-to-Total Capitalization</t>
  </si>
  <si>
    <t>Cost of Debt</t>
  </si>
  <si>
    <t>Cost-of-Debt</t>
  </si>
  <si>
    <t xml:space="preserve">   After-tax Cost of Debt</t>
  </si>
  <si>
    <t xml:space="preserve">Mean </t>
  </si>
  <si>
    <t>Cost of Equity</t>
  </si>
  <si>
    <t>Risk-free Rate (1)</t>
  </si>
  <si>
    <t>Target</t>
  </si>
  <si>
    <t>Market Risk Premium (2)</t>
  </si>
  <si>
    <t>Relevered</t>
  </si>
  <si>
    <t>Levered Beta</t>
  </si>
  <si>
    <t>Size Premium (3)</t>
  </si>
  <si>
    <t>Relevered Beta</t>
  </si>
  <si>
    <t xml:space="preserve">   Cost of Equity</t>
  </si>
  <si>
    <t>(EUR in millions)</t>
  </si>
  <si>
    <t>RHEINMETALL AG Relevered Beta</t>
  </si>
  <si>
    <t>LTM 12/31/2030 EBITDA</t>
  </si>
  <si>
    <t>• 2026–2028 based on analyst consensus</t>
  </si>
  <si>
    <t>• 2029–2030 gradually normalized</t>
  </si>
  <si>
    <t>• Assumes sustained elevated defense spending, but partial margin stabilization</t>
  </si>
  <si>
    <t xml:space="preserve">                   ---&gt;</t>
  </si>
  <si>
    <t xml:space="preserve">             ---&gt;</t>
  </si>
  <si>
    <t>• "realistical" beta choice for each firm</t>
  </si>
  <si>
    <t xml:space="preserve">• Changed it so that the wacc is believable </t>
  </si>
  <si>
    <t>Implied Share Price</t>
  </si>
  <si>
    <t>Market Share Price (Dec 31 2025)</t>
  </si>
  <si>
    <t>Upside / Downside</t>
  </si>
  <si>
    <t>Benchmarking Analysis – Multiples Analysis NTM</t>
  </si>
  <si>
    <t>Benchmarking Analysis – Multiples Analysis LTM</t>
  </si>
  <si>
    <t>(EUR in millions, fiscal year ending December 31)</t>
  </si>
  <si>
    <t>(EUR in millions, except per share data)</t>
  </si>
  <si>
    <t>Forecasts, CoC, Multiples, Valuation &amp; Sensitivity analysis</t>
  </si>
  <si>
    <t>DCF Analysis</t>
  </si>
  <si>
    <t>ANTÓNIO MARIA</t>
  </si>
  <si>
    <t>DE BOURA LOBO CAMPINOS</t>
  </si>
  <si>
    <t>RHEINMETALL DCF Valuation</t>
  </si>
  <si>
    <t>(model inspired by JOSHUA ROSENBAUM &amp; JOSHUA PEARL)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</si>
</sst>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7" formatCode="&quot;€&quot;#,##0.00;\-&quot;€&quot;#,##0.00"/>
    <numFmt numFmtId="43" formatCode="_-* #,##0.00_-;\-* #,##0.00_-;_-* &quot;-&quot;??_-;_-@_-"/>
    <numFmt numFmtId="164" formatCode="_(&quot;$&quot;* #,##0.00_);_(&quot;$&quot;* \(#,##0.00\);_(&quot;$&quot;* &quot;-&quot;??_);_(@_)"/>
    <numFmt numFmtId="166" formatCode="#,##0.0_);[Red]\(#,##0.0\)"/>
    <numFmt numFmtId="167" formatCode="0.0%"/>
    <numFmt numFmtId="169" formatCode="_(&quot;$&quot;* #,##0.0_);_(&quot;$&quot;* \(#,##0.0\);_(&quot;$&quot;* &quot;-&quot;??_);_(@_)"/>
    <numFmt numFmtId="170" formatCode="0.0\x"/>
    <numFmt numFmtId="172" formatCode="mmm\-dd"/>
    <numFmt numFmtId="177" formatCode="_(* #,##0.00_);_(* \(#,##0.00\);_(* &quot;-&quot;??_);_(@_)"/>
    <numFmt numFmtId="178" formatCode="* _(#,##0.00_);* \(#,##0.00\);* _(&quot;-&quot;?_);_(@_)"/>
    <numFmt numFmtId="179" formatCode="* _(#,##0.0%_);* \(#,##0.0%\);* _(&quot;-&quot;?_);_(@_)"/>
    <numFmt numFmtId="181" formatCode="* _(##,##0.000_);* \(##,##0.000\);* _(&quot;-&quot;?_);_(@_)"/>
    <numFmt numFmtId="183" formatCode="* _(##,##0.0_);* \(##,##0.0\);* _(&quot;-&quot;?_);_(@_)"/>
    <numFmt numFmtId="184" formatCode="* _(##,##0.0_);[Red]* \(##,##0.0\);* _(&quot;-&quot;?_);_(@_)"/>
    <numFmt numFmtId="185" formatCode="yyyy\A"/>
    <numFmt numFmtId="188" formatCode="_-* #,##0.0_-;\-* #,##0.0_-;_-* &quot;-&quot;?_-;_-@_-"/>
    <numFmt numFmtId="192" formatCode="0000"/>
    <numFmt numFmtId="193" formatCode="_(* #,##0.0_);_(* \(#,##0.0\);_(* &quot;-&quot;?_);_(@_)"/>
    <numFmt numFmtId="194" formatCode="_(* #,##0.0%;_(* \(#,##0.0%\);_(* &quot;- %&quot;_);_(* @_%_)"/>
    <numFmt numFmtId="195" formatCode="&quot;$&quot;#,##0.0_);\(&quot;$&quot;#,##0.0\)"/>
    <numFmt numFmtId="196" formatCode="_(* #,##0.00_);_(* \(#,##0.00\);_(* &quot;-&quot;?_);_(@_)"/>
    <numFmt numFmtId="197" formatCode="&quot;$&quot;#,##0.0_);[Red]\(&quot;$&quot;#,##0.0\)"/>
    <numFmt numFmtId="198" formatCode="_(* #,##0.0%_);_(* \(#,##0.0%\);_(* &quot;--- %&quot;_);_(* @_%_)"/>
    <numFmt numFmtId="200" formatCode="* ###0.0\x"/>
    <numFmt numFmtId="202" formatCode="_(* #,##0.0\x;_(* \(#,##0.0\x\);_(* &quot;- x&quot;_);_(* @_%_)"/>
    <numFmt numFmtId="204" formatCode="&quot;$&quot;#,##0_);[Red]\(&quot;$&quot;#,##0\)"/>
    <numFmt numFmtId="205" formatCode="_(* #,##0.0%_);_(* \(#,##0.0%\);_(* &quot;- %&quot;_);_(* @_%_)"/>
    <numFmt numFmtId="211" formatCode="* _(##,##0.00_);[Red]* \(##,##0.00\);* _(&quot;-&quot;?_);_(@_)"/>
    <numFmt numFmtId="212" formatCode="#,##0.00;\(#,##0.00\);_(* &quot;-&quot;_)"/>
    <numFmt numFmtId="213" formatCode="_(* #,##0.00%;_(* \(#,##0.00%\);_(* &quot;- %&quot;_);_(* @_%_)"/>
  </numFmts>
  <fonts count="4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Times New Roman"/>
      <family val="1"/>
    </font>
    <font>
      <b/>
      <sz val="20"/>
      <color indexed="9"/>
      <name val="Arial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i/>
      <sz val="10"/>
      <color indexed="9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color indexed="61"/>
      <name val="Arial"/>
      <family val="2"/>
    </font>
    <font>
      <b/>
      <sz val="12"/>
      <color theme="1"/>
      <name val="Aptos Narrow"/>
      <scheme val="minor"/>
    </font>
    <font>
      <b/>
      <sz val="2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sz val="10"/>
      <color indexed="12"/>
      <name val="Arial"/>
      <family val="2"/>
    </font>
    <font>
      <i/>
      <sz val="10"/>
      <color indexed="12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sz val="10"/>
      <color theme="1"/>
      <name val="Arial"/>
      <family val="2"/>
    </font>
    <font>
      <sz val="12"/>
      <color theme="1"/>
      <name val="Aptos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9"/>
      <color indexed="0"/>
      <name val="Helvetica"/>
      <family val="2"/>
    </font>
    <font>
      <sz val="10"/>
      <color indexed="10"/>
      <name val="Arial"/>
      <family val="2"/>
    </font>
    <font>
      <sz val="10"/>
      <color indexed="0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9"/>
      <color indexed="9"/>
      <name val="Helvetica"/>
      <family val="2"/>
    </font>
    <font>
      <b/>
      <sz val="16"/>
      <color indexed="9"/>
      <name val="Arial"/>
      <family val="2"/>
    </font>
    <font>
      <sz val="9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0"/>
      <name val="Arial"/>
      <family val="2"/>
    </font>
    <font>
      <i/>
      <sz val="10"/>
      <color indexed="8"/>
      <name val="Arial"/>
      <family val="2"/>
    </font>
    <font>
      <i/>
      <sz val="10"/>
      <color indexed="0"/>
      <name val="Arial"/>
      <family val="2"/>
    </font>
    <font>
      <sz val="10"/>
      <color indexed="51"/>
      <name val="Arial"/>
      <family val="2"/>
    </font>
    <font>
      <i/>
      <sz val="10"/>
      <color theme="1"/>
      <name val="Arial"/>
      <family val="2"/>
    </font>
    <font>
      <sz val="9"/>
      <color theme="1"/>
      <name val="Helvetica"/>
      <family val="2"/>
    </font>
    <font>
      <sz val="11"/>
      <color rgb="FF000000"/>
      <name val="Aptos"/>
    </font>
    <font>
      <b/>
      <sz val="12"/>
      <color theme="6"/>
      <name val="Aptos Narrow"/>
      <scheme val="minor"/>
    </font>
    <font>
      <sz val="48"/>
      <name val="Franklin Gothic Medium Cond"/>
      <family val="2"/>
    </font>
    <font>
      <i/>
      <sz val="26"/>
      <name val="Garamond"/>
      <family val="1"/>
    </font>
    <font>
      <sz val="24"/>
      <name val="Franklin Gothic Medium Cond"/>
      <family val="2"/>
    </font>
    <font>
      <sz val="18"/>
      <name val="Garamond"/>
      <family val="1"/>
    </font>
  </fonts>
  <fills count="1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FF"/>
      </patternFill>
    </fill>
    <fill>
      <patternFill patternType="solid">
        <fgColor rgb="FFFFCC00"/>
        <bgColor rgb="FF000000"/>
      </patternFill>
    </fill>
    <fill>
      <patternFill patternType="solid">
        <fgColor rgb="FF00008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9A"/>
        <bgColor indexed="64"/>
      </patternFill>
    </fill>
    <fill>
      <patternFill patternType="solid">
        <fgColor rgb="FFFFFF9A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" fillId="0" borderId="0" applyFill="0" applyBorder="0" applyProtection="0">
      <protection locked="0"/>
    </xf>
    <xf numFmtId="0" fontId="7" fillId="0" borderId="0"/>
    <xf numFmtId="0" fontId="7" fillId="0" borderId="0"/>
    <xf numFmtId="0" fontId="7" fillId="0" borderId="0" applyFill="0" applyBorder="0" applyProtection="0">
      <protection locked="0"/>
    </xf>
    <xf numFmtId="0" fontId="26" fillId="0" borderId="0"/>
    <xf numFmtId="198" fontId="29" fillId="0" borderId="0" applyFont="0" applyFill="0" applyBorder="0" applyAlignment="0" applyProtection="0">
      <alignment horizontal="right"/>
    </xf>
    <xf numFmtId="0" fontId="7" fillId="0" borderId="0"/>
    <xf numFmtId="0" fontId="7" fillId="0" borderId="0"/>
  </cellStyleXfs>
  <cellXfs count="348">
    <xf numFmtId="0" fontId="0" fillId="0" borderId="0" xfId="0"/>
    <xf numFmtId="0" fontId="3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center"/>
    </xf>
    <xf numFmtId="0" fontId="5" fillId="2" borderId="0" xfId="3" applyFont="1" applyFill="1"/>
    <xf numFmtId="0" fontId="6" fillId="2" borderId="0" xfId="3" applyFont="1" applyFill="1"/>
    <xf numFmtId="0" fontId="4" fillId="0" borderId="0" xfId="3" applyFont="1"/>
    <xf numFmtId="0" fontId="4" fillId="0" borderId="0" xfId="3" applyFont="1" applyAlignment="1">
      <alignment horizontal="center"/>
    </xf>
    <xf numFmtId="164" fontId="7" fillId="0" borderId="0" xfId="3" applyNumberFormat="1" applyFont="1"/>
    <xf numFmtId="0" fontId="7" fillId="0" borderId="0" xfId="3" applyFont="1"/>
    <xf numFmtId="0" fontId="8" fillId="2" borderId="0" xfId="4" applyFont="1" applyFill="1" applyAlignment="1">
      <alignment horizontal="centerContinuous"/>
    </xf>
    <xf numFmtId="0" fontId="9" fillId="0" borderId="0" xfId="3" applyFont="1" applyAlignment="1">
      <alignment horizontal="center"/>
    </xf>
    <xf numFmtId="0" fontId="9" fillId="0" borderId="0" xfId="3" applyFont="1"/>
    <xf numFmtId="0" fontId="9" fillId="0" borderId="1" xfId="3" applyFont="1" applyBorder="1" applyAlignment="1">
      <alignment horizontal="centerContinuous"/>
    </xf>
    <xf numFmtId="0" fontId="9" fillId="0" borderId="0" xfId="5" applyFont="1" applyAlignment="1">
      <alignment horizontal="center"/>
    </xf>
    <xf numFmtId="0" fontId="9" fillId="0" borderId="1" xfId="3" applyFont="1" applyBorder="1"/>
    <xf numFmtId="0" fontId="9" fillId="0" borderId="1" xfId="5" applyFont="1" applyBorder="1" applyAlignment="1">
      <alignment horizontal="center"/>
    </xf>
    <xf numFmtId="0" fontId="9" fillId="0" borderId="1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9" fillId="0" borderId="0" xfId="5" applyFont="1"/>
    <xf numFmtId="166" fontId="9" fillId="0" borderId="0" xfId="3" applyNumberFormat="1" applyFont="1"/>
    <xf numFmtId="9" fontId="9" fillId="0" borderId="0" xfId="2" applyFont="1" applyFill="1" applyBorder="1" applyAlignment="1">
      <alignment horizontal="center"/>
    </xf>
    <xf numFmtId="0" fontId="7" fillId="0" borderId="0" xfId="5" applyFont="1"/>
    <xf numFmtId="38" fontId="7" fillId="0" borderId="0" xfId="3" applyNumberFormat="1" applyFont="1"/>
    <xf numFmtId="166" fontId="7" fillId="0" borderId="0" xfId="3" applyNumberFormat="1" applyFont="1"/>
    <xf numFmtId="167" fontId="7" fillId="0" borderId="0" xfId="2" applyNumberFormat="1" applyFont="1" applyFill="1" applyBorder="1" applyAlignment="1">
      <alignment horizontal="center"/>
    </xf>
    <xf numFmtId="0" fontId="8" fillId="2" borderId="0" xfId="5" applyFont="1" applyFill="1"/>
    <xf numFmtId="9" fontId="7" fillId="0" borderId="0" xfId="2" applyFont="1" applyFill="1" applyBorder="1" applyAlignment="1">
      <alignment horizontal="center"/>
    </xf>
    <xf numFmtId="167" fontId="9" fillId="3" borderId="0" xfId="2" applyNumberFormat="1" applyFont="1" applyFill="1" applyBorder="1" applyAlignment="1">
      <alignment horizontal="left"/>
    </xf>
    <xf numFmtId="169" fontId="7" fillId="3" borderId="0" xfId="5" applyNumberFormat="1" applyFont="1" applyFill="1" applyAlignment="1">
      <alignment horizontal="center"/>
    </xf>
    <xf numFmtId="0" fontId="9" fillId="3" borderId="0" xfId="5" applyFont="1" applyFill="1"/>
    <xf numFmtId="170" fontId="9" fillId="3" borderId="0" xfId="5" applyNumberFormat="1" applyFont="1" applyFill="1" applyAlignment="1">
      <alignment horizontal="center"/>
    </xf>
    <xf numFmtId="9" fontId="9" fillId="3" borderId="0" xfId="5" applyNumberFormat="1" applyFont="1" applyFill="1" applyAlignment="1">
      <alignment horizontal="center"/>
    </xf>
    <xf numFmtId="167" fontId="9" fillId="0" borderId="0" xfId="2" applyNumberFormat="1" applyFont="1" applyFill="1" applyBorder="1" applyAlignment="1">
      <alignment horizontal="left"/>
    </xf>
    <xf numFmtId="169" fontId="7" fillId="0" borderId="0" xfId="5" applyNumberFormat="1" applyFont="1" applyAlignment="1">
      <alignment horizontal="center"/>
    </xf>
    <xf numFmtId="170" fontId="9" fillId="0" borderId="0" xfId="5" applyNumberFormat="1" applyFont="1" applyAlignment="1">
      <alignment horizontal="center"/>
    </xf>
    <xf numFmtId="9" fontId="9" fillId="0" borderId="0" xfId="5" applyNumberFormat="1" applyFont="1" applyAlignment="1">
      <alignment horizontal="center"/>
    </xf>
    <xf numFmtId="40" fontId="7" fillId="0" borderId="0" xfId="5" applyNumberFormat="1" applyFont="1"/>
    <xf numFmtId="0" fontId="0" fillId="4" borderId="0" xfId="0" applyFill="1"/>
    <xf numFmtId="0" fontId="8" fillId="0" borderId="0" xfId="3" applyFont="1"/>
    <xf numFmtId="0" fontId="9" fillId="0" borderId="0" xfId="3" quotePrefix="1" applyFont="1" applyAlignment="1">
      <alignment horizontal="center"/>
    </xf>
    <xf numFmtId="172" fontId="9" fillId="0" borderId="0" xfId="0" applyNumberFormat="1" applyFont="1" applyAlignment="1">
      <alignment horizontal="center"/>
    </xf>
    <xf numFmtId="4" fontId="9" fillId="0" borderId="0" xfId="5" applyNumberFormat="1" applyFont="1" applyAlignment="1">
      <alignment horizontal="center"/>
    </xf>
    <xf numFmtId="9" fontId="9" fillId="0" borderId="0" xfId="3" applyNumberFormat="1" applyFont="1" applyAlignment="1">
      <alignment horizontal="center"/>
    </xf>
    <xf numFmtId="170" fontId="9" fillId="0" borderId="0" xfId="2" applyNumberFormat="1" applyFont="1" applyFill="1" applyBorder="1" applyAlignment="1">
      <alignment horizontal="center"/>
    </xf>
    <xf numFmtId="167" fontId="9" fillId="0" borderId="0" xfId="2" applyNumberFormat="1" applyFont="1" applyFill="1" applyBorder="1" applyAlignment="1">
      <alignment horizontal="center"/>
    </xf>
    <xf numFmtId="0" fontId="7" fillId="0" borderId="0" xfId="7"/>
    <xf numFmtId="170" fontId="7" fillId="0" borderId="0" xfId="2" applyNumberFormat="1" applyFont="1" applyFill="1" applyBorder="1" applyAlignment="1">
      <alignment horizontal="center"/>
    </xf>
    <xf numFmtId="172" fontId="7" fillId="0" borderId="0" xfId="0" applyNumberFormat="1" applyFont="1" applyAlignment="1">
      <alignment horizontal="center"/>
    </xf>
    <xf numFmtId="4" fontId="7" fillId="0" borderId="0" xfId="5" applyNumberFormat="1" applyFont="1" applyAlignment="1">
      <alignment horizontal="center"/>
    </xf>
    <xf numFmtId="9" fontId="7" fillId="0" borderId="0" xfId="3" applyNumberFormat="1" applyFont="1" applyAlignment="1">
      <alignment horizontal="center"/>
    </xf>
    <xf numFmtId="4" fontId="9" fillId="3" borderId="0" xfId="5" applyNumberFormat="1" applyFont="1" applyFill="1" applyAlignment="1">
      <alignment horizontal="center"/>
    </xf>
    <xf numFmtId="167" fontId="9" fillId="3" borderId="0" xfId="5" applyNumberFormat="1" applyFont="1" applyFill="1" applyAlignment="1">
      <alignment horizontal="center"/>
    </xf>
    <xf numFmtId="167" fontId="9" fillId="0" borderId="0" xfId="5" applyNumberFormat="1" applyFont="1" applyAlignment="1">
      <alignment horizontal="center"/>
    </xf>
    <xf numFmtId="170" fontId="8" fillId="3" borderId="0" xfId="5" applyNumberFormat="1" applyFont="1" applyFill="1" applyAlignment="1">
      <alignment horizontal="center"/>
    </xf>
    <xf numFmtId="167" fontId="8" fillId="3" borderId="0" xfId="5" applyNumberFormat="1" applyFont="1" applyFill="1" applyAlignment="1">
      <alignment horizontal="center"/>
    </xf>
    <xf numFmtId="0" fontId="10" fillId="0" borderId="1" xfId="5" applyFont="1" applyBorder="1"/>
    <xf numFmtId="0" fontId="10" fillId="0" borderId="0" xfId="5" applyFont="1"/>
    <xf numFmtId="167" fontId="11" fillId="0" borderId="0" xfId="2" applyNumberFormat="1" applyFont="1" applyFill="1" applyBorder="1" applyAlignment="1">
      <alignment horizontal="center"/>
    </xf>
    <xf numFmtId="170" fontId="11" fillId="0" borderId="0" xfId="2" applyNumberFormat="1" applyFont="1" applyFill="1" applyBorder="1" applyAlignment="1">
      <alignment horizontal="center"/>
    </xf>
    <xf numFmtId="167" fontId="9" fillId="5" borderId="0" xfId="0" applyNumberFormat="1" applyFont="1" applyFill="1" applyAlignment="1">
      <alignment horizontal="center"/>
    </xf>
    <xf numFmtId="0" fontId="13" fillId="6" borderId="0" xfId="0" applyFont="1" applyFill="1"/>
    <xf numFmtId="0" fontId="14" fillId="6" borderId="0" xfId="0" applyFont="1" applyFill="1"/>
    <xf numFmtId="0" fontId="7" fillId="0" borderId="0" xfId="0" applyFont="1"/>
    <xf numFmtId="0" fontId="16" fillId="6" borderId="0" xfId="0" applyFont="1" applyFill="1"/>
    <xf numFmtId="0" fontId="7" fillId="6" borderId="0" xfId="0" applyFont="1" applyFill="1"/>
    <xf numFmtId="0" fontId="17" fillId="6" borderId="0" xfId="0" applyFont="1" applyFill="1"/>
    <xf numFmtId="0" fontId="8" fillId="2" borderId="0" xfId="0" applyFont="1" applyFill="1" applyAlignment="1">
      <alignment horizontal="left"/>
    </xf>
    <xf numFmtId="0" fontId="7" fillId="8" borderId="0" xfId="0" applyFont="1" applyFill="1"/>
    <xf numFmtId="0" fontId="18" fillId="9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172" fontId="18" fillId="8" borderId="0" xfId="0" applyNumberFormat="1" applyFont="1" applyFill="1"/>
    <xf numFmtId="172" fontId="18" fillId="9" borderId="0" xfId="0" applyNumberFormat="1" applyFont="1" applyFill="1"/>
    <xf numFmtId="177" fontId="18" fillId="8" borderId="0" xfId="0" applyNumberFormat="1" applyFont="1" applyFill="1"/>
    <xf numFmtId="178" fontId="18" fillId="9" borderId="0" xfId="6" applyNumberFormat="1" applyFont="1" applyFill="1" applyProtection="1"/>
    <xf numFmtId="179" fontId="19" fillId="9" borderId="0" xfId="6" applyNumberFormat="1" applyFont="1" applyFill="1" applyProtection="1"/>
    <xf numFmtId="14" fontId="18" fillId="9" borderId="0" xfId="5" applyNumberFormat="1" applyFont="1" applyFill="1" applyAlignment="1">
      <alignment horizontal="right"/>
    </xf>
    <xf numFmtId="0" fontId="20" fillId="8" borderId="0" xfId="0" applyFont="1" applyFill="1"/>
    <xf numFmtId="0" fontId="20" fillId="8" borderId="0" xfId="0" applyFont="1" applyFill="1" applyAlignment="1">
      <alignment horizontal="right"/>
    </xf>
    <xf numFmtId="179" fontId="20" fillId="8" borderId="0" xfId="6" applyNumberFormat="1" applyFont="1" applyFill="1" applyAlignment="1" applyProtection="1">
      <alignment horizontal="right"/>
    </xf>
    <xf numFmtId="0" fontId="7" fillId="8" borderId="0" xfId="5" applyFont="1" applyFill="1"/>
    <xf numFmtId="178" fontId="18" fillId="9" borderId="0" xfId="6" applyNumberFormat="1" applyFont="1" applyFill="1" applyAlignment="1" applyProtection="1">
      <alignment horizontal="right"/>
    </xf>
    <xf numFmtId="0" fontId="7" fillId="8" borderId="0" xfId="0" applyFont="1" applyFill="1" applyAlignment="1">
      <alignment horizontal="right"/>
    </xf>
    <xf numFmtId="0" fontId="7" fillId="8" borderId="0" xfId="8" applyFill="1"/>
    <xf numFmtId="181" fontId="7" fillId="8" borderId="1" xfId="6" applyNumberFormat="1" applyFill="1" applyBorder="1" applyProtection="1"/>
    <xf numFmtId="0" fontId="9" fillId="8" borderId="0" xfId="0" applyFont="1" applyFill="1"/>
    <xf numFmtId="183" fontId="7" fillId="8" borderId="0" xfId="6" applyNumberFormat="1" applyFill="1" applyProtection="1"/>
    <xf numFmtId="184" fontId="7" fillId="8" borderId="1" xfId="6" applyNumberFormat="1" applyFill="1" applyBorder="1" applyProtection="1"/>
    <xf numFmtId="9" fontId="18" fillId="8" borderId="0" xfId="0" applyNumberFormat="1" applyFont="1" applyFill="1"/>
    <xf numFmtId="0" fontId="18" fillId="8" borderId="0" xfId="0" applyFont="1" applyFill="1"/>
    <xf numFmtId="0" fontId="9" fillId="8" borderId="0" xfId="5" applyFont="1" applyFill="1" applyAlignment="1">
      <alignment horizontal="center"/>
    </xf>
    <xf numFmtId="0" fontId="21" fillId="8" borderId="0" xfId="0" applyFont="1" applyFill="1" applyAlignment="1">
      <alignment horizontal="left"/>
    </xf>
    <xf numFmtId="185" fontId="9" fillId="8" borderId="1" xfId="9" applyNumberFormat="1" applyFont="1" applyFill="1" applyBorder="1" applyAlignment="1" applyProtection="1">
      <alignment horizontal="center"/>
    </xf>
    <xf numFmtId="0" fontId="9" fillId="8" borderId="0" xfId="5" applyFont="1" applyFill="1"/>
    <xf numFmtId="183" fontId="18" fillId="9" borderId="1" xfId="6" applyNumberFormat="1" applyFont="1" applyFill="1" applyBorder="1" applyAlignment="1" applyProtection="1">
      <alignment horizontal="right"/>
    </xf>
    <xf numFmtId="183" fontId="18" fillId="9" borderId="4" xfId="6" applyNumberFormat="1" applyFont="1" applyFill="1" applyBorder="1" applyAlignment="1" applyProtection="1">
      <alignment horizontal="right"/>
    </xf>
    <xf numFmtId="170" fontId="7" fillId="8" borderId="0" xfId="0" applyNumberFormat="1" applyFont="1" applyFill="1"/>
    <xf numFmtId="183" fontId="18" fillId="9" borderId="0" xfId="6" applyNumberFormat="1" applyFont="1" applyFill="1" applyAlignment="1" applyProtection="1">
      <alignment horizontal="right"/>
    </xf>
    <xf numFmtId="184" fontId="18" fillId="9" borderId="0" xfId="6" applyNumberFormat="1" applyFont="1" applyFill="1" applyAlignment="1" applyProtection="1">
      <alignment horizontal="right"/>
    </xf>
    <xf numFmtId="183" fontId="18" fillId="9" borderId="6" xfId="6" applyNumberFormat="1" applyFont="1" applyFill="1" applyBorder="1" applyAlignment="1" applyProtection="1">
      <alignment horizontal="right"/>
    </xf>
    <xf numFmtId="184" fontId="18" fillId="9" borderId="1" xfId="6" applyNumberFormat="1" applyFont="1" applyFill="1" applyBorder="1" applyAlignment="1" applyProtection="1">
      <alignment horizontal="right"/>
    </xf>
    <xf numFmtId="179" fontId="20" fillId="8" borderId="6" xfId="6" applyNumberFormat="1" applyFont="1" applyFill="1" applyBorder="1" applyAlignment="1" applyProtection="1">
      <alignment horizontal="right"/>
    </xf>
    <xf numFmtId="0" fontId="7" fillId="8" borderId="6" xfId="0" applyFont="1" applyFill="1" applyBorder="1" applyAlignment="1">
      <alignment horizontal="right"/>
    </xf>
    <xf numFmtId="0" fontId="9" fillId="8" borderId="1" xfId="5" applyFont="1" applyFill="1" applyBorder="1" applyAlignment="1">
      <alignment horizontal="center"/>
    </xf>
    <xf numFmtId="0" fontId="9" fillId="8" borderId="1" xfId="5" applyFont="1" applyFill="1" applyBorder="1" applyAlignment="1">
      <alignment horizontal="center"/>
    </xf>
    <xf numFmtId="0" fontId="20" fillId="8" borderId="0" xfId="5" applyFont="1" applyFill="1"/>
    <xf numFmtId="0" fontId="20" fillId="8" borderId="0" xfId="8" applyFont="1" applyFill="1"/>
    <xf numFmtId="7" fontId="9" fillId="8" borderId="6" xfId="0" applyNumberFormat="1" applyFont="1" applyFill="1" applyBorder="1" applyAlignment="1">
      <alignment horizontal="right"/>
    </xf>
    <xf numFmtId="7" fontId="9" fillId="8" borderId="0" xfId="6" applyNumberFormat="1" applyFont="1" applyFill="1" applyAlignment="1" applyProtection="1">
      <alignment horizontal="right"/>
    </xf>
    <xf numFmtId="7" fontId="9" fillId="8" borderId="8" xfId="6" applyNumberFormat="1" applyFont="1" applyFill="1" applyBorder="1" applyAlignment="1" applyProtection="1">
      <alignment horizontal="right"/>
    </xf>
    <xf numFmtId="7" fontId="9" fillId="8" borderId="9" xfId="6" applyNumberFormat="1" applyFont="1" applyFill="1" applyBorder="1" applyAlignment="1" applyProtection="1">
      <alignment horizontal="right"/>
    </xf>
    <xf numFmtId="7" fontId="9" fillId="8" borderId="6" xfId="6" applyNumberFormat="1" applyFont="1" applyFill="1" applyBorder="1" applyAlignment="1" applyProtection="1">
      <alignment horizontal="right"/>
    </xf>
    <xf numFmtId="7" fontId="21" fillId="9" borderId="0" xfId="6" applyNumberFormat="1" applyFont="1" applyFill="1" applyProtection="1"/>
    <xf numFmtId="7" fontId="21" fillId="9" borderId="2" xfId="6" applyNumberFormat="1" applyFont="1" applyFill="1" applyBorder="1" applyProtection="1"/>
    <xf numFmtId="0" fontId="2" fillId="0" borderId="0" xfId="4"/>
    <xf numFmtId="0" fontId="7" fillId="8" borderId="0" xfId="8" applyFill="1" applyBorder="1"/>
    <xf numFmtId="0" fontId="7" fillId="8" borderId="0" xfId="0" applyFont="1" applyFill="1" applyBorder="1"/>
    <xf numFmtId="181" fontId="7" fillId="8" borderId="0" xfId="6" applyNumberFormat="1" applyFill="1" applyBorder="1" applyProtection="1"/>
    <xf numFmtId="2" fontId="18" fillId="9" borderId="0" xfId="6" applyNumberFormat="1" applyFont="1" applyFill="1" applyAlignment="1" applyProtection="1">
      <alignment horizontal="right"/>
    </xf>
    <xf numFmtId="7" fontId="9" fillId="8" borderId="1" xfId="6" applyNumberFormat="1" applyFont="1" applyFill="1" applyBorder="1" applyProtection="1"/>
    <xf numFmtId="7" fontId="9" fillId="8" borderId="0" xfId="6" applyNumberFormat="1" applyFont="1" applyFill="1" applyProtection="1"/>
    <xf numFmtId="0" fontId="15" fillId="6" borderId="0" xfId="0" applyFont="1" applyFill="1"/>
    <xf numFmtId="0" fontId="7" fillId="10" borderId="0" xfId="0" applyFont="1" applyFill="1"/>
    <xf numFmtId="0" fontId="9" fillId="8" borderId="0" xfId="0" applyFont="1" applyFill="1" applyAlignment="1">
      <alignment horizontal="center"/>
    </xf>
    <xf numFmtId="43" fontId="7" fillId="8" borderId="0" xfId="1" applyFont="1" applyFill="1"/>
    <xf numFmtId="43" fontId="7" fillId="8" borderId="6" xfId="1" applyFont="1" applyFill="1" applyBorder="1" applyAlignment="1">
      <alignment horizontal="right"/>
    </xf>
    <xf numFmtId="43" fontId="18" fillId="9" borderId="0" xfId="1" applyFont="1" applyFill="1" applyAlignment="1" applyProtection="1">
      <alignment horizontal="right"/>
    </xf>
    <xf numFmtId="43" fontId="22" fillId="9" borderId="0" xfId="1" applyFont="1" applyFill="1" applyAlignment="1" applyProtection="1">
      <alignment horizontal="right"/>
    </xf>
    <xf numFmtId="43" fontId="7" fillId="10" borderId="0" xfId="1" applyFont="1" applyFill="1"/>
    <xf numFmtId="43" fontId="9" fillId="0" borderId="0" xfId="1" applyFont="1" applyFill="1" applyBorder="1" applyAlignment="1" applyProtection="1">
      <alignment horizontal="right"/>
    </xf>
    <xf numFmtId="43" fontId="7" fillId="0" borderId="0" xfId="1" applyFont="1" applyFill="1" applyBorder="1" applyAlignment="1" applyProtection="1">
      <alignment horizontal="right"/>
    </xf>
    <xf numFmtId="43" fontId="7" fillId="0" borderId="0" xfId="1" applyFont="1"/>
    <xf numFmtId="43" fontId="7" fillId="0" borderId="0" xfId="1" applyFont="1" applyFill="1" applyBorder="1" applyProtection="1"/>
    <xf numFmtId="0" fontId="8" fillId="2" borderId="0" xfId="4" applyFont="1" applyFill="1" applyAlignment="1">
      <alignment horizontal="center"/>
    </xf>
    <xf numFmtId="9" fontId="9" fillId="0" borderId="0" xfId="2" applyNumberFormat="1" applyFont="1" applyFill="1" applyBorder="1" applyAlignment="1">
      <alignment horizontal="center"/>
    </xf>
    <xf numFmtId="43" fontId="22" fillId="11" borderId="0" xfId="1" applyFont="1" applyFill="1"/>
    <xf numFmtId="9" fontId="7" fillId="10" borderId="0" xfId="1" applyNumberFormat="1" applyFont="1" applyFill="1"/>
    <xf numFmtId="10" fontId="7" fillId="10" borderId="0" xfId="1" applyNumberFormat="1" applyFont="1" applyFill="1"/>
    <xf numFmtId="0" fontId="0" fillId="0" borderId="0" xfId="0" applyFont="1"/>
    <xf numFmtId="0" fontId="23" fillId="0" borderId="0" xfId="0" applyFont="1"/>
    <xf numFmtId="170" fontId="9" fillId="5" borderId="0" xfId="0" applyNumberFormat="1" applyFont="1" applyFill="1" applyAlignment="1">
      <alignment horizontal="center"/>
    </xf>
    <xf numFmtId="43" fontId="22" fillId="11" borderId="0" xfId="1" applyFont="1" applyFill="1" applyAlignment="1" applyProtection="1">
      <alignment horizontal="right"/>
    </xf>
    <xf numFmtId="43" fontId="22" fillId="10" borderId="0" xfId="1" applyFont="1" applyFill="1"/>
    <xf numFmtId="43" fontId="9" fillId="3" borderId="0" xfId="1" applyFont="1" applyFill="1" applyAlignment="1">
      <alignment horizontal="center"/>
    </xf>
    <xf numFmtId="43" fontId="7" fillId="3" borderId="0" xfId="1" applyFont="1" applyFill="1" applyAlignment="1">
      <alignment horizontal="center"/>
    </xf>
    <xf numFmtId="43" fontId="9" fillId="0" borderId="0" xfId="1" applyFont="1" applyAlignment="1">
      <alignment horizontal="center"/>
    </xf>
    <xf numFmtId="43" fontId="7" fillId="0" borderId="0" xfId="1" applyFont="1" applyAlignment="1">
      <alignment horizontal="center"/>
    </xf>
    <xf numFmtId="9" fontId="9" fillId="3" borderId="0" xfId="2" applyFont="1" applyFill="1" applyAlignment="1">
      <alignment horizontal="center"/>
    </xf>
    <xf numFmtId="9" fontId="9" fillId="0" borderId="0" xfId="2" applyFont="1" applyAlignment="1">
      <alignment horizontal="center"/>
    </xf>
    <xf numFmtId="9" fontId="8" fillId="2" borderId="0" xfId="2" applyFont="1" applyFill="1"/>
    <xf numFmtId="0" fontId="12" fillId="0" borderId="0" xfId="0" applyFont="1" applyAlignment="1">
      <alignment horizontal="center"/>
    </xf>
    <xf numFmtId="192" fontId="9" fillId="0" borderId="1" xfId="0" applyNumberFormat="1" applyFont="1" applyBorder="1" applyAlignment="1">
      <alignment horizontal="center"/>
    </xf>
    <xf numFmtId="0" fontId="24" fillId="7" borderId="1" xfId="0" applyFont="1" applyFill="1" applyBorder="1" applyAlignment="1">
      <alignment horizontal="center"/>
    </xf>
    <xf numFmtId="192" fontId="24" fillId="7" borderId="5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7" fontId="20" fillId="0" borderId="0" xfId="2" applyNumberFormat="1" applyFont="1" applyAlignment="1" applyProtection="1">
      <alignment horizontal="center"/>
    </xf>
    <xf numFmtId="179" fontId="20" fillId="0" borderId="0" xfId="6" applyNumberFormat="1" applyFont="1" applyFill="1" applyBorder="1" applyAlignment="1" applyProtection="1">
      <alignment horizontal="right"/>
    </xf>
    <xf numFmtId="167" fontId="20" fillId="0" borderId="0" xfId="2" applyNumberFormat="1" applyFont="1" applyAlignment="1" applyProtection="1">
      <alignment horizontal="right"/>
    </xf>
    <xf numFmtId="193" fontId="7" fillId="0" borderId="1" xfId="10" applyNumberFormat="1" applyFont="1" applyBorder="1"/>
    <xf numFmtId="0" fontId="7" fillId="0" borderId="0" xfId="10" applyFont="1"/>
    <xf numFmtId="0" fontId="26" fillId="0" borderId="0" xfId="10"/>
    <xf numFmtId="193" fontId="7" fillId="0" borderId="0" xfId="10" applyNumberFormat="1" applyFont="1"/>
    <xf numFmtId="193" fontId="27" fillId="9" borderId="0" xfId="10" applyNumberFormat="1" applyFont="1" applyFill="1"/>
    <xf numFmtId="0" fontId="7" fillId="0" borderId="0" xfId="10" applyFont="1" applyAlignment="1">
      <alignment horizontal="center"/>
    </xf>
    <xf numFmtId="193" fontId="28" fillId="0" borderId="0" xfId="10" applyNumberFormat="1" applyFont="1"/>
    <xf numFmtId="167" fontId="20" fillId="0" borderId="0" xfId="2" applyNumberFormat="1" applyFont="1" applyFill="1" applyBorder="1" applyAlignment="1" applyProtection="1">
      <alignment horizontal="center"/>
    </xf>
    <xf numFmtId="194" fontId="18" fillId="9" borderId="0" xfId="11" applyNumberFormat="1" applyFont="1" applyFill="1" applyBorder="1" applyAlignment="1">
      <alignment horizontal="right" vertical="distributed"/>
    </xf>
    <xf numFmtId="0" fontId="9" fillId="0" borderId="0" xfId="10" applyFont="1"/>
    <xf numFmtId="195" fontId="7" fillId="0" borderId="0" xfId="10" applyNumberFormat="1" applyFont="1"/>
    <xf numFmtId="193" fontId="30" fillId="0" borderId="0" xfId="10" applyNumberFormat="1" applyFont="1" applyAlignment="1">
      <alignment horizontal="right"/>
    </xf>
    <xf numFmtId="167" fontId="7" fillId="0" borderId="0" xfId="2" applyNumberFormat="1" applyFont="1" applyBorder="1" applyAlignment="1" applyProtection="1">
      <alignment horizontal="right"/>
    </xf>
    <xf numFmtId="195" fontId="9" fillId="0" borderId="0" xfId="10" applyNumberFormat="1" applyFont="1"/>
    <xf numFmtId="0" fontId="28" fillId="0" borderId="0" xfId="10" applyFont="1"/>
    <xf numFmtId="0" fontId="28" fillId="0" borderId="0" xfId="10" applyFont="1" applyAlignment="1">
      <alignment horizontal="center"/>
    </xf>
    <xf numFmtId="196" fontId="7" fillId="0" borderId="0" xfId="10" applyNumberFormat="1" applyFont="1"/>
    <xf numFmtId="196" fontId="28" fillId="0" borderId="0" xfId="10" applyNumberFormat="1" applyFont="1"/>
    <xf numFmtId="197" fontId="31" fillId="3" borderId="0" xfId="10" applyNumberFormat="1" applyFont="1" applyFill="1"/>
    <xf numFmtId="0" fontId="28" fillId="3" borderId="0" xfId="10" applyFont="1" applyFill="1"/>
    <xf numFmtId="195" fontId="28" fillId="3" borderId="0" xfId="10" applyNumberFormat="1" applyFont="1" applyFill="1"/>
    <xf numFmtId="0" fontId="28" fillId="3" borderId="0" xfId="10" applyFont="1" applyFill="1" applyAlignment="1">
      <alignment horizontal="center"/>
    </xf>
    <xf numFmtId="0" fontId="32" fillId="2" borderId="0" xfId="10" applyFont="1" applyFill="1"/>
    <xf numFmtId="0" fontId="33" fillId="2" borderId="0" xfId="6" applyFont="1" applyFill="1" applyBorder="1" applyProtection="1"/>
    <xf numFmtId="0" fontId="6" fillId="2" borderId="10" xfId="6" applyFont="1" applyFill="1" applyBorder="1" applyProtection="1"/>
    <xf numFmtId="0" fontId="34" fillId="2" borderId="10" xfId="10" applyFont="1" applyFill="1" applyBorder="1"/>
    <xf numFmtId="0" fontId="8" fillId="2" borderId="10" xfId="6" applyFont="1" applyFill="1" applyBorder="1" applyProtection="1"/>
    <xf numFmtId="0" fontId="8" fillId="2" borderId="10" xfId="6" applyFont="1" applyFill="1" applyBorder="1" applyAlignment="1" applyProtection="1">
      <alignment horizontal="right"/>
    </xf>
    <xf numFmtId="0" fontId="9" fillId="0" borderId="0" xfId="9" applyFont="1" applyProtection="1"/>
    <xf numFmtId="0" fontId="7" fillId="0" borderId="0" xfId="9" applyProtection="1"/>
    <xf numFmtId="0" fontId="9" fillId="3" borderId="1" xfId="9" applyFont="1" applyFill="1" applyBorder="1" applyAlignment="1" applyProtection="1">
      <alignment horizontal="centerContinuous"/>
    </xf>
    <xf numFmtId="0" fontId="7" fillId="3" borderId="1" xfId="9" applyFill="1" applyBorder="1" applyAlignment="1" applyProtection="1">
      <alignment horizontal="centerContinuous"/>
    </xf>
    <xf numFmtId="0" fontId="35" fillId="0" borderId="0" xfId="10" applyFont="1" applyAlignment="1">
      <alignment horizontal="center"/>
    </xf>
    <xf numFmtId="0" fontId="36" fillId="0" borderId="0" xfId="10" applyFont="1"/>
    <xf numFmtId="0" fontId="9" fillId="3" borderId="1" xfId="9" applyFont="1" applyFill="1" applyBorder="1" applyAlignment="1" applyProtection="1">
      <alignment horizontal="center"/>
    </xf>
    <xf numFmtId="0" fontId="20" fillId="0" borderId="0" xfId="10" applyFont="1" applyAlignment="1">
      <alignment horizontal="left"/>
    </xf>
    <xf numFmtId="167" fontId="20" fillId="0" borderId="0" xfId="2" applyNumberFormat="1" applyFont="1" applyBorder="1" applyAlignment="1" applyProtection="1">
      <alignment horizontal="right"/>
    </xf>
    <xf numFmtId="0" fontId="30" fillId="0" borderId="0" xfId="10" applyFont="1"/>
    <xf numFmtId="0" fontId="35" fillId="0" borderId="0" xfId="10" applyFont="1" applyAlignment="1">
      <alignment horizontal="left"/>
    </xf>
    <xf numFmtId="0" fontId="7" fillId="0" borderId="0" xfId="10" applyFont="1" applyAlignment="1">
      <alignment horizontal="left"/>
    </xf>
    <xf numFmtId="0" fontId="28" fillId="0" borderId="0" xfId="10" applyFont="1" applyAlignment="1">
      <alignment horizontal="left"/>
    </xf>
    <xf numFmtId="167" fontId="18" fillId="9" borderId="0" xfId="2" applyNumberFormat="1" applyFont="1" applyFill="1" applyBorder="1" applyAlignment="1" applyProtection="1">
      <alignment horizontal="right"/>
    </xf>
    <xf numFmtId="0" fontId="9" fillId="3" borderId="0" xfId="10" applyFont="1" applyFill="1"/>
    <xf numFmtId="197" fontId="20" fillId="0" borderId="0" xfId="10" applyNumberFormat="1" applyFont="1"/>
    <xf numFmtId="167" fontId="7" fillId="0" borderId="0" xfId="2" applyNumberFormat="1" applyFont="1" applyFill="1" applyBorder="1" applyProtection="1"/>
    <xf numFmtId="0" fontId="8" fillId="2" borderId="0" xfId="10" applyFont="1" applyFill="1" applyAlignment="1">
      <alignment horizontal="centerContinuous"/>
    </xf>
    <xf numFmtId="0" fontId="4" fillId="2" borderId="0" xfId="10" applyFont="1" applyFill="1" applyAlignment="1">
      <alignment horizontal="centerContinuous"/>
    </xf>
    <xf numFmtId="0" fontId="8" fillId="2" borderId="0" xfId="10" applyFont="1" applyFill="1" applyAlignment="1">
      <alignment horizontal="center"/>
    </xf>
    <xf numFmtId="195" fontId="8" fillId="2" borderId="0" xfId="10" applyNumberFormat="1" applyFont="1" applyFill="1" applyAlignment="1">
      <alignment horizontal="centerContinuous"/>
    </xf>
    <xf numFmtId="0" fontId="35" fillId="0" borderId="0" xfId="9" applyFont="1" applyProtection="1"/>
    <xf numFmtId="0" fontId="37" fillId="0" borderId="0" xfId="9" applyFont="1" applyFill="1" applyBorder="1" applyProtection="1"/>
    <xf numFmtId="0" fontId="28" fillId="0" borderId="0" xfId="9" applyFont="1" applyProtection="1"/>
    <xf numFmtId="167" fontId="38" fillId="0" borderId="0" xfId="2" applyNumberFormat="1" applyFont="1" applyProtection="1"/>
    <xf numFmtId="167" fontId="7" fillId="0" borderId="0" xfId="2" applyNumberFormat="1" applyFont="1" applyFill="1" applyBorder="1" applyAlignment="1" applyProtection="1">
      <alignment horizontal="right"/>
    </xf>
    <xf numFmtId="0" fontId="9" fillId="0" borderId="1" xfId="9" applyFont="1" applyFill="1" applyBorder="1" applyProtection="1"/>
    <xf numFmtId="197" fontId="7" fillId="0" borderId="0" xfId="10" applyNumberFormat="1" applyFont="1"/>
    <xf numFmtId="0" fontId="28" fillId="0" borderId="0" xfId="9" applyFont="1" applyBorder="1" applyProtection="1"/>
    <xf numFmtId="0" fontId="28" fillId="0" borderId="0" xfId="9" applyFont="1" applyFill="1" applyBorder="1" applyProtection="1"/>
    <xf numFmtId="200" fontId="18" fillId="9" borderId="1" xfId="9" applyNumberFormat="1" applyFont="1" applyFill="1" applyBorder="1" applyProtection="1"/>
    <xf numFmtId="193" fontId="18" fillId="9" borderId="1" xfId="10" applyNumberFormat="1" applyFont="1" applyFill="1" applyBorder="1"/>
    <xf numFmtId="0" fontId="35" fillId="0" borderId="0" xfId="10" applyFont="1"/>
    <xf numFmtId="194" fontId="9" fillId="3" borderId="11" xfId="11" applyNumberFormat="1" applyFont="1" applyFill="1" applyBorder="1" applyAlignment="1">
      <alignment horizontal="right" vertical="distributed"/>
    </xf>
    <xf numFmtId="0" fontId="36" fillId="0" borderId="0" xfId="9" applyFont="1" applyFill="1" applyBorder="1" applyProtection="1"/>
    <xf numFmtId="197" fontId="9" fillId="0" borderId="0" xfId="9" applyNumberFormat="1" applyFont="1" applyFill="1" applyBorder="1" applyProtection="1"/>
    <xf numFmtId="196" fontId="7" fillId="0" borderId="1" xfId="9" applyNumberFormat="1" applyFill="1" applyBorder="1" applyProtection="1"/>
    <xf numFmtId="177" fontId="30" fillId="0" borderId="0" xfId="9" applyNumberFormat="1" applyFont="1" applyFill="1" applyBorder="1" applyProtection="1"/>
    <xf numFmtId="0" fontId="35" fillId="0" borderId="0" xfId="9" applyFont="1" applyFill="1" applyBorder="1" applyProtection="1"/>
    <xf numFmtId="202" fontId="9" fillId="3" borderId="11" xfId="11" applyNumberFormat="1" applyFont="1" applyFill="1" applyBorder="1" applyAlignment="1">
      <alignment horizontal="right" vertical="distributed"/>
    </xf>
    <xf numFmtId="0" fontId="9" fillId="0" borderId="1" xfId="9" applyFont="1" applyBorder="1" applyAlignment="1" applyProtection="1">
      <alignment horizontal="centerContinuous"/>
    </xf>
    <xf numFmtId="166" fontId="39" fillId="3" borderId="0" xfId="9" applyNumberFormat="1" applyFont="1" applyFill="1" applyBorder="1" applyProtection="1"/>
    <xf numFmtId="170" fontId="9" fillId="8" borderId="1" xfId="9" applyNumberFormat="1" applyFont="1" applyFill="1" applyBorder="1" applyAlignment="1" applyProtection="1">
      <alignment horizontal="center"/>
    </xf>
    <xf numFmtId="170" fontId="21" fillId="8" borderId="1" xfId="9" applyNumberFormat="1" applyFont="1" applyFill="1" applyBorder="1" applyAlignment="1" applyProtection="1">
      <alignment horizontal="center"/>
    </xf>
    <xf numFmtId="170" fontId="9" fillId="0" borderId="0" xfId="9" applyNumberFormat="1" applyFont="1" applyBorder="1" applyAlignment="1" applyProtection="1">
      <alignment horizontal="center"/>
    </xf>
    <xf numFmtId="0" fontId="35" fillId="0" borderId="0" xfId="9" applyFont="1" applyBorder="1" applyAlignment="1" applyProtection="1">
      <alignment horizontal="right" vertical="distributed" textRotation="90"/>
      <protection locked="0"/>
    </xf>
    <xf numFmtId="167" fontId="9" fillId="8" borderId="0" xfId="2" applyNumberFormat="1" applyFont="1" applyFill="1" applyBorder="1"/>
    <xf numFmtId="38" fontId="28" fillId="0" borderId="12" xfId="9" applyNumberFormat="1" applyFont="1" applyBorder="1" applyAlignment="1" applyProtection="1">
      <alignment horizontal="center"/>
    </xf>
    <xf numFmtId="38" fontId="28" fillId="0" borderId="0" xfId="9" applyNumberFormat="1" applyFont="1" applyBorder="1" applyAlignment="1" applyProtection="1">
      <alignment horizontal="center"/>
    </xf>
    <xf numFmtId="167" fontId="28" fillId="0" borderId="12" xfId="9" applyNumberFormat="1" applyFont="1" applyBorder="1" applyAlignment="1" applyProtection="1">
      <alignment horizontal="center"/>
    </xf>
    <xf numFmtId="167" fontId="28" fillId="0" borderId="0" xfId="9" applyNumberFormat="1" applyFont="1" applyBorder="1" applyAlignment="1" applyProtection="1">
      <alignment horizontal="center"/>
    </xf>
    <xf numFmtId="38" fontId="4" fillId="2" borderId="0" xfId="9" applyNumberFormat="1" applyFont="1" applyFill="1" applyBorder="1" applyAlignment="1" applyProtection="1">
      <alignment horizontal="center"/>
    </xf>
    <xf numFmtId="167" fontId="4" fillId="2" borderId="0" xfId="9" applyNumberFormat="1" applyFont="1" applyFill="1" applyBorder="1" applyAlignment="1" applyProtection="1">
      <alignment horizontal="center"/>
    </xf>
    <xf numFmtId="167" fontId="21" fillId="8" borderId="0" xfId="2" applyNumberFormat="1" applyFont="1" applyFill="1" applyBorder="1"/>
    <xf numFmtId="204" fontId="35" fillId="3" borderId="0" xfId="9" applyNumberFormat="1" applyFont="1" applyFill="1" applyBorder="1" applyAlignment="1" applyProtection="1">
      <alignment horizontal="center"/>
    </xf>
    <xf numFmtId="167" fontId="35" fillId="3" borderId="0" xfId="9" applyNumberFormat="1" applyFont="1" applyFill="1" applyBorder="1" applyAlignment="1" applyProtection="1">
      <alignment horizontal="center"/>
    </xf>
    <xf numFmtId="198" fontId="20" fillId="0" borderId="0" xfId="11" applyFont="1" applyFill="1" applyBorder="1" applyAlignment="1">
      <alignment horizontal="right"/>
    </xf>
    <xf numFmtId="167" fontId="20" fillId="0" borderId="0" xfId="2" applyNumberFormat="1" applyFont="1" applyFill="1" applyBorder="1" applyAlignment="1" applyProtection="1">
      <alignment horizontal="right"/>
    </xf>
    <xf numFmtId="167" fontId="20" fillId="0" borderId="0" xfId="2" applyNumberFormat="1" applyFont="1" applyFill="1" applyBorder="1" applyProtection="1"/>
    <xf numFmtId="0" fontId="31" fillId="0" borderId="0" xfId="9" applyFont="1" applyFill="1" applyBorder="1" applyProtection="1"/>
    <xf numFmtId="198" fontId="7" fillId="0" borderId="0" xfId="11" applyFont="1" applyFill="1" applyBorder="1" applyAlignment="1">
      <alignment horizontal="right"/>
    </xf>
    <xf numFmtId="205" fontId="7" fillId="0" borderId="0" xfId="11" applyNumberFormat="1" applyFont="1" applyFill="1" applyBorder="1" applyAlignment="1">
      <alignment horizontal="right"/>
    </xf>
    <xf numFmtId="179" fontId="40" fillId="0" borderId="0" xfId="6" applyNumberFormat="1" applyFont="1" applyFill="1" applyBorder="1" applyAlignment="1" applyProtection="1">
      <alignment horizontal="right"/>
    </xf>
    <xf numFmtId="167" fontId="40" fillId="0" borderId="7" xfId="2" applyNumberFormat="1" applyFont="1" applyFill="1" applyBorder="1" applyAlignment="1" applyProtection="1">
      <alignment horizontal="right"/>
    </xf>
    <xf numFmtId="193" fontId="22" fillId="0" borderId="0" xfId="10" applyNumberFormat="1" applyFont="1"/>
    <xf numFmtId="167" fontId="40" fillId="0" borderId="0" xfId="2" applyNumberFormat="1" applyFont="1" applyFill="1" applyAlignment="1" applyProtection="1">
      <alignment horizontal="center"/>
    </xf>
    <xf numFmtId="167" fontId="40" fillId="0" borderId="0" xfId="2" applyNumberFormat="1" applyFont="1" applyFill="1" applyAlignment="1" applyProtection="1">
      <alignment horizontal="right"/>
    </xf>
    <xf numFmtId="193" fontId="22" fillId="0" borderId="1" xfId="9" applyNumberFormat="1" applyFont="1" applyFill="1" applyBorder="1" applyProtection="1"/>
    <xf numFmtId="193" fontId="22" fillId="0" borderId="5" xfId="9" applyNumberFormat="1" applyFont="1" applyFill="1" applyBorder="1" applyProtection="1"/>
    <xf numFmtId="193" fontId="22" fillId="0" borderId="1" xfId="10" applyNumberFormat="1" applyFont="1" applyFill="1" applyBorder="1"/>
    <xf numFmtId="193" fontId="22" fillId="0" borderId="5" xfId="10" applyNumberFormat="1" applyFont="1" applyFill="1" applyBorder="1"/>
    <xf numFmtId="0" fontId="22" fillId="0" borderId="0" xfId="10" applyFont="1" applyFill="1"/>
    <xf numFmtId="0" fontId="41" fillId="0" borderId="0" xfId="10" applyFont="1" applyFill="1"/>
    <xf numFmtId="0" fontId="22" fillId="0" borderId="7" xfId="10" applyFont="1" applyFill="1" applyBorder="1"/>
    <xf numFmtId="193" fontId="22" fillId="0" borderId="0" xfId="10" applyNumberFormat="1" applyFont="1" applyFill="1"/>
    <xf numFmtId="193" fontId="22" fillId="0" borderId="7" xfId="10" applyNumberFormat="1" applyFont="1" applyFill="1" applyBorder="1"/>
    <xf numFmtId="0" fontId="24" fillId="12" borderId="1" xfId="0" applyFont="1" applyFill="1" applyBorder="1" applyAlignment="1">
      <alignment horizontal="center"/>
    </xf>
    <xf numFmtId="193" fontId="20" fillId="0" borderId="1" xfId="10" applyNumberFormat="1" applyFont="1" applyBorder="1"/>
    <xf numFmtId="188" fontId="7" fillId="0" borderId="0" xfId="10" applyNumberFormat="1" applyFont="1" applyAlignment="1">
      <alignment horizontal="center"/>
    </xf>
    <xf numFmtId="43" fontId="7" fillId="0" borderId="0" xfId="1" applyFont="1" applyAlignment="1">
      <alignment horizontal="right"/>
    </xf>
    <xf numFmtId="193" fontId="7" fillId="0" borderId="0" xfId="1" applyNumberFormat="1" applyFont="1"/>
    <xf numFmtId="193" fontId="7" fillId="0" borderId="0" xfId="1" applyNumberFormat="1" applyFont="1" applyAlignment="1">
      <alignment horizontal="center"/>
    </xf>
    <xf numFmtId="193" fontId="22" fillId="0" borderId="1" xfId="1" applyNumberFormat="1" applyFont="1" applyBorder="1"/>
    <xf numFmtId="193" fontId="25" fillId="0" borderId="0" xfId="6" applyNumberFormat="1" applyFont="1" applyFill="1" applyProtection="1"/>
    <xf numFmtId="193" fontId="25" fillId="0" borderId="3" xfId="6" applyNumberFormat="1" applyFont="1" applyFill="1" applyBorder="1" applyProtection="1"/>
    <xf numFmtId="193" fontId="9" fillId="11" borderId="0" xfId="6" applyNumberFormat="1" applyFont="1" applyFill="1" applyBorder="1" applyProtection="1"/>
    <xf numFmtId="193" fontId="9" fillId="11" borderId="0" xfId="6" applyNumberFormat="1" applyFont="1" applyFill="1" applyProtection="1"/>
    <xf numFmtId="193" fontId="9" fillId="11" borderId="0" xfId="10" applyNumberFormat="1" applyFont="1" applyFill="1"/>
    <xf numFmtId="193" fontId="25" fillId="0" borderId="7" xfId="6" applyNumberFormat="1" applyFont="1" applyFill="1" applyBorder="1" applyProtection="1"/>
    <xf numFmtId="193" fontId="25" fillId="0" borderId="0" xfId="10" applyNumberFormat="1" applyFont="1" applyFill="1"/>
    <xf numFmtId="193" fontId="25" fillId="0" borderId="7" xfId="10" applyNumberFormat="1" applyFont="1" applyFill="1" applyBorder="1"/>
    <xf numFmtId="0" fontId="4" fillId="2" borderId="0" xfId="10" applyFont="1" applyFill="1"/>
    <xf numFmtId="0" fontId="5" fillId="2" borderId="0" xfId="10" applyFont="1" applyFill="1"/>
    <xf numFmtId="0" fontId="6" fillId="2" borderId="0" xfId="10" applyFont="1" applyFill="1"/>
    <xf numFmtId="0" fontId="8" fillId="2" borderId="0" xfId="9" applyFont="1" applyFill="1" applyProtection="1"/>
    <xf numFmtId="0" fontId="8" fillId="2" borderId="0" xfId="10" applyFont="1" applyFill="1"/>
    <xf numFmtId="0" fontId="9" fillId="2" borderId="0" xfId="10" applyFont="1" applyFill="1"/>
    <xf numFmtId="0" fontId="31" fillId="0" borderId="0" xfId="10" applyFont="1"/>
    <xf numFmtId="0" fontId="35" fillId="0" borderId="1" xfId="10" applyFont="1" applyBorder="1"/>
    <xf numFmtId="0" fontId="35" fillId="0" borderId="1" xfId="10" applyFont="1" applyBorder="1" applyAlignment="1">
      <alignment horizontal="center"/>
    </xf>
    <xf numFmtId="0" fontId="7" fillId="0" borderId="0" xfId="9" applyFill="1" applyBorder="1" applyAlignment="1" applyProtection="1">
      <alignment vertical="top"/>
    </xf>
    <xf numFmtId="194" fontId="7" fillId="0" borderId="0" xfId="11" applyNumberFormat="1" applyFont="1" applyBorder="1" applyAlignment="1">
      <alignment horizontal="right" vertical="distributed"/>
    </xf>
    <xf numFmtId="0" fontId="18" fillId="9" borderId="0" xfId="9" applyFont="1" applyFill="1" applyBorder="1" applyProtection="1"/>
    <xf numFmtId="211" fontId="18" fillId="9" borderId="0" xfId="6" applyNumberFormat="1" applyFont="1" applyFill="1" applyProtection="1"/>
    <xf numFmtId="211" fontId="7" fillId="0" borderId="0" xfId="6" applyNumberFormat="1" applyFill="1" applyProtection="1"/>
    <xf numFmtId="167" fontId="7" fillId="0" borderId="0" xfId="9" applyNumberFormat="1" applyProtection="1"/>
    <xf numFmtId="0" fontId="30" fillId="0" borderId="0" xfId="9" applyFont="1" applyFill="1" applyBorder="1" applyProtection="1"/>
    <xf numFmtId="212" fontId="18" fillId="0" borderId="0" xfId="12" applyNumberFormat="1" applyFont="1"/>
    <xf numFmtId="166" fontId="18" fillId="0" borderId="0" xfId="12" applyNumberFormat="1" applyFont="1"/>
    <xf numFmtId="167" fontId="7" fillId="0" borderId="0" xfId="12" applyNumberFormat="1"/>
    <xf numFmtId="167" fontId="18" fillId="0" borderId="0" xfId="12" applyNumberFormat="1" applyFont="1"/>
    <xf numFmtId="40" fontId="7" fillId="0" borderId="0" xfId="12" applyNumberFormat="1"/>
    <xf numFmtId="0" fontId="35" fillId="3" borderId="0" xfId="10" applyFont="1" applyFill="1"/>
    <xf numFmtId="211" fontId="9" fillId="3" borderId="0" xfId="6" applyNumberFormat="1" applyFont="1" applyFill="1" applyProtection="1"/>
    <xf numFmtId="0" fontId="30" fillId="3" borderId="0" xfId="10" applyFont="1" applyFill="1"/>
    <xf numFmtId="194" fontId="9" fillId="3" borderId="0" xfId="11" applyNumberFormat="1" applyFont="1" applyFill="1" applyBorder="1" applyAlignment="1">
      <alignment horizontal="right" vertical="distributed"/>
    </xf>
    <xf numFmtId="0" fontId="7" fillId="0" borderId="0" xfId="9" applyBorder="1" applyProtection="1"/>
    <xf numFmtId="213" fontId="18" fillId="9" borderId="0" xfId="11" applyNumberFormat="1" applyFont="1" applyFill="1" applyBorder="1" applyAlignment="1">
      <alignment horizontal="right" vertical="distributed"/>
    </xf>
    <xf numFmtId="211" fontId="9" fillId="3" borderId="11" xfId="6" applyNumberFormat="1" applyFont="1" applyFill="1" applyBorder="1" applyProtection="1"/>
    <xf numFmtId="0" fontId="0" fillId="0" borderId="0" xfId="0"/>
    <xf numFmtId="43" fontId="18" fillId="9" borderId="0" xfId="1" applyFont="1" applyFill="1" applyProtection="1"/>
    <xf numFmtId="0" fontId="35" fillId="0" borderId="14" xfId="10" applyFont="1" applyBorder="1"/>
    <xf numFmtId="0" fontId="30" fillId="0" borderId="14" xfId="10" applyFont="1" applyBorder="1"/>
    <xf numFmtId="43" fontId="9" fillId="3" borderId="11" xfId="1" applyFont="1" applyFill="1" applyBorder="1" applyAlignment="1" applyProtection="1">
      <alignment horizontal="right"/>
    </xf>
    <xf numFmtId="43" fontId="9" fillId="3" borderId="11" xfId="1" applyFont="1" applyFill="1" applyBorder="1" applyProtection="1"/>
    <xf numFmtId="43" fontId="9" fillId="0" borderId="0" xfId="1" applyFont="1" applyFill="1" applyBorder="1" applyProtection="1"/>
    <xf numFmtId="43" fontId="7" fillId="0" borderId="0" xfId="1" applyFont="1" applyProtection="1"/>
    <xf numFmtId="43" fontId="35" fillId="0" borderId="0" xfId="1" applyFont="1" applyProtection="1"/>
    <xf numFmtId="43" fontId="9" fillId="0" borderId="0" xfId="1" applyFont="1"/>
    <xf numFmtId="43" fontId="9" fillId="3" borderId="0" xfId="1" applyFont="1" applyFill="1"/>
    <xf numFmtId="43" fontId="18" fillId="9" borderId="0" xfId="1" applyFont="1" applyFill="1"/>
    <xf numFmtId="43" fontId="28" fillId="0" borderId="0" xfId="1" applyFont="1"/>
    <xf numFmtId="0" fontId="42" fillId="0" borderId="0" xfId="0" applyFont="1"/>
    <xf numFmtId="0" fontId="9" fillId="0" borderId="0" xfId="10" applyFont="1" applyAlignment="1">
      <alignment horizontal="left"/>
    </xf>
    <xf numFmtId="10" fontId="43" fillId="0" borderId="0" xfId="2" applyNumberFormat="1" applyFont="1"/>
    <xf numFmtId="0" fontId="28" fillId="0" borderId="14" xfId="10" applyFont="1" applyBorder="1"/>
    <xf numFmtId="0" fontId="28" fillId="0" borderId="0" xfId="10" applyFont="1" applyBorder="1"/>
    <xf numFmtId="43" fontId="9" fillId="3" borderId="19" xfId="1" applyFont="1" applyFill="1" applyBorder="1" applyProtection="1"/>
    <xf numFmtId="167" fontId="7" fillId="11" borderId="13" xfId="2" applyNumberFormat="1" applyFont="1" applyFill="1" applyBorder="1" applyProtection="1"/>
    <xf numFmtId="0" fontId="35" fillId="11" borderId="14" xfId="9" applyFont="1" applyFill="1" applyBorder="1" applyProtection="1"/>
    <xf numFmtId="194" fontId="7" fillId="11" borderId="14" xfId="11" applyNumberFormat="1" applyFont="1" applyFill="1" applyBorder="1" applyAlignment="1">
      <alignment horizontal="right" vertical="distributed"/>
    </xf>
    <xf numFmtId="167" fontId="7" fillId="11" borderId="12" xfId="2" applyNumberFormat="1" applyFont="1" applyFill="1" applyBorder="1"/>
    <xf numFmtId="0" fontId="35" fillId="11" borderId="0" xfId="9" applyFont="1" applyFill="1" applyBorder="1" applyProtection="1"/>
    <xf numFmtId="194" fontId="7" fillId="11" borderId="0" xfId="11" applyNumberFormat="1" applyFont="1" applyFill="1" applyBorder="1" applyAlignment="1">
      <alignment horizontal="right" vertical="distributed"/>
    </xf>
    <xf numFmtId="167" fontId="7" fillId="11" borderId="12" xfId="2" applyNumberFormat="1" applyFont="1" applyFill="1" applyBorder="1" applyProtection="1"/>
    <xf numFmtId="194" fontId="7" fillId="11" borderId="16" xfId="11" applyNumberFormat="1" applyFont="1" applyFill="1" applyBorder="1" applyAlignment="1">
      <alignment horizontal="right" vertical="distributed"/>
    </xf>
    <xf numFmtId="167" fontId="7" fillId="11" borderId="17" xfId="2" applyNumberFormat="1" applyFont="1" applyFill="1" applyBorder="1" applyProtection="1"/>
    <xf numFmtId="0" fontId="35" fillId="11" borderId="1" xfId="9" applyFont="1" applyFill="1" applyBorder="1" applyProtection="1"/>
    <xf numFmtId="197" fontId="7" fillId="11" borderId="1" xfId="9" applyNumberFormat="1" applyFont="1" applyFill="1" applyBorder="1" applyAlignment="1" applyProtection="1">
      <alignment horizontal="right"/>
    </xf>
    <xf numFmtId="10" fontId="7" fillId="11" borderId="1" xfId="2" applyNumberFormat="1" applyFont="1" applyFill="1" applyBorder="1" applyProtection="1"/>
    <xf numFmtId="194" fontId="22" fillId="11" borderId="0" xfId="11" applyNumberFormat="1" applyFont="1" applyFill="1" applyBorder="1" applyAlignment="1">
      <alignment horizontal="right" vertical="distributed"/>
    </xf>
    <xf numFmtId="194" fontId="7" fillId="11" borderId="15" xfId="11" applyNumberFormat="1" applyFont="1" applyFill="1" applyBorder="1" applyAlignment="1">
      <alignment horizontal="right" vertical="distributed"/>
    </xf>
    <xf numFmtId="10" fontId="7" fillId="11" borderId="18" xfId="2" applyNumberFormat="1" applyFont="1" applyFill="1" applyBorder="1" applyProtection="1"/>
    <xf numFmtId="167" fontId="8" fillId="2" borderId="0" xfId="2" applyNumberFormat="1" applyFont="1" applyFill="1" applyBorder="1" applyAlignment="1" applyProtection="1">
      <alignment horizontal="center"/>
    </xf>
    <xf numFmtId="0" fontId="44" fillId="0" borderId="0" xfId="0" applyFont="1" applyAlignment="1">
      <alignment horizontal="center"/>
    </xf>
    <xf numFmtId="0" fontId="18" fillId="0" borderId="0" xfId="13" applyFont="1"/>
    <xf numFmtId="0" fontId="7" fillId="0" borderId="0" xfId="13"/>
    <xf numFmtId="0" fontId="45" fillId="0" borderId="0" xfId="0" applyFont="1" applyAlignment="1">
      <alignment horizontal="center"/>
    </xf>
    <xf numFmtId="0" fontId="45" fillId="0" borderId="0" xfId="13" applyFont="1" applyAlignment="1">
      <alignment horizontal="center"/>
    </xf>
    <xf numFmtId="0" fontId="46" fillId="0" borderId="0" xfId="13" applyFont="1" applyAlignment="1">
      <alignment horizontal="center"/>
    </xf>
    <xf numFmtId="0" fontId="47" fillId="0" borderId="0" xfId="13" applyFont="1"/>
    <xf numFmtId="0" fontId="20" fillId="0" borderId="0" xfId="13" applyFont="1"/>
  </cellXfs>
  <cellStyles count="14">
    <cellStyle name="_x000a_386grabber=M" xfId="6" xr:uid="{2407AFEF-AE49-DD46-B459-F337169A140E}"/>
    <cellStyle name="AFE" xfId="9" xr:uid="{C0597786-D530-414E-B2BD-ACEC61F65C6E}"/>
    <cellStyle name="Comma" xfId="1" builtinId="3"/>
    <cellStyle name="Normal" xfId="0" builtinId="0"/>
    <cellStyle name="Normal_2 PICS v4.4 (Comps, PT)" xfId="7" xr:uid="{4AD75143-6A7A-654C-8D30-094443271EC8}"/>
    <cellStyle name="Normal_Ch01 Pics v2.2" xfId="10" xr:uid="{5D088060-9F0A-3648-A15D-922CCC8E93BA}"/>
    <cellStyle name="Normal_Ch02 Pics v1.0" xfId="3" xr:uid="{432C78B9-0C9C-DA4D-ADE8-DFFD2D56C51B}"/>
    <cellStyle name="Normal_Ch03 Pics v1.0" xfId="5" xr:uid="{DAF12CE3-DB50-EA40-A315-C56D60DF81C4}"/>
    <cellStyle name="Normal_Comparable Companies_Completed v2-18-09" xfId="13" xr:uid="{498E890D-FF67-0E4E-925F-EDA6C5AA6117}"/>
    <cellStyle name="Normal_compSet(1)" xfId="12" xr:uid="{DEBEBB0B-A543-BD42-8E46-7D24F5BC0DF6}"/>
    <cellStyle name="Normal_Input Page2" xfId="8" xr:uid="{C0876A0D-E595-2F40-AFD6-282E71347835}"/>
    <cellStyle name="Normal_PT" xfId="4" xr:uid="{7FC86E5F-221D-0848-AEEE-72F66647E557}"/>
    <cellStyle name="Pctg" xfId="11" xr:uid="{65C84194-46EE-3C46-B5E5-6035FD7E0C79}"/>
    <cellStyle name="Per cent" xfId="2" builtinId="5"/>
  </cellStyles>
  <dxfs count="0"/>
  <tableStyles count="0" defaultTableStyle="TableStyleMedium2" defaultPivotStyle="PivotStyleLight16"/>
  <colors>
    <mruColors>
      <color rgb="FFFFFF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11</xdr:col>
      <xdr:colOff>0</xdr:colOff>
      <xdr:row>16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AFAA9B8-DCEF-424D-8ED5-D73E940CA88C}"/>
            </a:ext>
          </a:extLst>
        </xdr:cNvPr>
        <xdr:cNvSpPr>
          <a:spLocks noChangeArrowheads="1"/>
        </xdr:cNvSpPr>
      </xdr:nvSpPr>
      <xdr:spPr bwMode="auto">
        <a:xfrm>
          <a:off x="4457700" y="2463800"/>
          <a:ext cx="8737600" cy="3302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5388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/>
        <a:lstStyle/>
        <a:p>
          <a:endParaRPr lang="en-GB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20</xdr:col>
      <xdr:colOff>0</xdr:colOff>
      <xdr:row>31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4CF504-B7EE-094D-BB18-77ADD0522585}"/>
            </a:ext>
          </a:extLst>
        </xdr:cNvPr>
        <xdr:cNvSpPr>
          <a:spLocks noChangeArrowheads="1"/>
        </xdr:cNvSpPr>
      </xdr:nvSpPr>
      <xdr:spPr bwMode="auto">
        <a:xfrm>
          <a:off x="63500" y="4876800"/>
          <a:ext cx="13957300" cy="3302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37</xdr:row>
      <xdr:rowOff>0</xdr:rowOff>
    </xdr:from>
    <xdr:to>
      <xdr:col>20</xdr:col>
      <xdr:colOff>0</xdr:colOff>
      <xdr:row>39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C627C15-8863-8440-A1F8-9F7CF7768C99}"/>
            </a:ext>
          </a:extLst>
        </xdr:cNvPr>
        <xdr:cNvSpPr>
          <a:spLocks noChangeArrowheads="1"/>
        </xdr:cNvSpPr>
      </xdr:nvSpPr>
      <xdr:spPr bwMode="auto">
        <a:xfrm>
          <a:off x="63500" y="7848600"/>
          <a:ext cx="13957300" cy="3302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34</xdr:row>
      <xdr:rowOff>0</xdr:rowOff>
    </xdr:from>
    <xdr:to>
      <xdr:col>20</xdr:col>
      <xdr:colOff>0</xdr:colOff>
      <xdr:row>36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B7B3709-84A3-9E4E-90ED-028CEE31CFF4}"/>
            </a:ext>
          </a:extLst>
        </xdr:cNvPr>
        <xdr:cNvSpPr>
          <a:spLocks noChangeArrowheads="1"/>
        </xdr:cNvSpPr>
      </xdr:nvSpPr>
      <xdr:spPr bwMode="auto">
        <a:xfrm>
          <a:off x="63500" y="7353300"/>
          <a:ext cx="13957300" cy="3302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20</xdr:col>
      <xdr:colOff>0</xdr:colOff>
      <xdr:row>21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1C0E977-15C0-3D46-B9DF-CEB83E5B8D37}"/>
            </a:ext>
          </a:extLst>
        </xdr:cNvPr>
        <xdr:cNvSpPr>
          <a:spLocks noChangeArrowheads="1"/>
        </xdr:cNvSpPr>
      </xdr:nvSpPr>
      <xdr:spPr bwMode="auto">
        <a:xfrm>
          <a:off x="63500" y="3225800"/>
          <a:ext cx="13957300" cy="3302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24</xdr:col>
      <xdr:colOff>15118</xdr:colOff>
      <xdr:row>39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999D9D3-9827-6F4D-A842-E2008825ED4F}"/>
            </a:ext>
          </a:extLst>
        </xdr:cNvPr>
        <xdr:cNvSpPr>
          <a:spLocks noChangeArrowheads="1"/>
        </xdr:cNvSpPr>
      </xdr:nvSpPr>
      <xdr:spPr bwMode="auto">
        <a:xfrm>
          <a:off x="0" y="9585476"/>
          <a:ext cx="21514404" cy="39309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0</xdr:col>
      <xdr:colOff>0</xdr:colOff>
      <xdr:row>34</xdr:row>
      <xdr:rowOff>0</xdr:rowOff>
    </xdr:from>
    <xdr:to>
      <xdr:col>24</xdr:col>
      <xdr:colOff>15118</xdr:colOff>
      <xdr:row>36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8C2D1E-03F1-574B-AF23-2492791181F9}"/>
            </a:ext>
          </a:extLst>
        </xdr:cNvPr>
        <xdr:cNvSpPr>
          <a:spLocks noChangeArrowheads="1"/>
        </xdr:cNvSpPr>
      </xdr:nvSpPr>
      <xdr:spPr bwMode="auto">
        <a:xfrm>
          <a:off x="0" y="7002804"/>
          <a:ext cx="20952314" cy="40355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24</xdr:col>
      <xdr:colOff>15119</xdr:colOff>
      <xdr:row>21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4100325-4477-7D4C-9A8F-B1F15FFAFC21}"/>
            </a:ext>
          </a:extLst>
        </xdr:cNvPr>
        <xdr:cNvSpPr>
          <a:spLocks noChangeArrowheads="1"/>
        </xdr:cNvSpPr>
      </xdr:nvSpPr>
      <xdr:spPr bwMode="auto">
        <a:xfrm>
          <a:off x="0" y="3885595"/>
          <a:ext cx="21514405" cy="39309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>
    <xdr:from>
      <xdr:col>0</xdr:col>
      <xdr:colOff>0</xdr:colOff>
      <xdr:row>29</xdr:row>
      <xdr:rowOff>0</xdr:rowOff>
    </xdr:from>
    <xdr:to>
      <xdr:col>24</xdr:col>
      <xdr:colOff>15118</xdr:colOff>
      <xdr:row>31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C2674DE-79F1-EB47-94F5-4011EBCD6333}"/>
            </a:ext>
          </a:extLst>
        </xdr:cNvPr>
        <xdr:cNvSpPr>
          <a:spLocks noChangeArrowheads="1"/>
        </xdr:cNvSpPr>
      </xdr:nvSpPr>
      <xdr:spPr bwMode="auto">
        <a:xfrm>
          <a:off x="0" y="5993925"/>
          <a:ext cx="20952314" cy="403552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24</xdr:col>
      <xdr:colOff>15118</xdr:colOff>
      <xdr:row>39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E60CA17-4757-F148-A4CB-61E2373F8B66}"/>
            </a:ext>
          </a:extLst>
        </xdr:cNvPr>
        <xdr:cNvSpPr>
          <a:spLocks noChangeArrowheads="1"/>
        </xdr:cNvSpPr>
      </xdr:nvSpPr>
      <xdr:spPr bwMode="auto">
        <a:xfrm>
          <a:off x="0" y="9893300"/>
          <a:ext cx="21363818" cy="4064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34</xdr:row>
      <xdr:rowOff>0</xdr:rowOff>
    </xdr:from>
    <xdr:to>
      <xdr:col>24</xdr:col>
      <xdr:colOff>15118</xdr:colOff>
      <xdr:row>36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F6E7EED-71AD-CD44-9DE8-F34B963FD6C4}"/>
            </a:ext>
          </a:extLst>
        </xdr:cNvPr>
        <xdr:cNvSpPr>
          <a:spLocks noChangeArrowheads="1"/>
        </xdr:cNvSpPr>
      </xdr:nvSpPr>
      <xdr:spPr bwMode="auto">
        <a:xfrm>
          <a:off x="0" y="9283700"/>
          <a:ext cx="21363818" cy="4064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24</xdr:col>
      <xdr:colOff>15119</xdr:colOff>
      <xdr:row>21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B584268-49CA-5140-9D74-F46660733676}"/>
            </a:ext>
          </a:extLst>
        </xdr:cNvPr>
        <xdr:cNvSpPr>
          <a:spLocks noChangeArrowheads="1"/>
        </xdr:cNvSpPr>
      </xdr:nvSpPr>
      <xdr:spPr bwMode="auto">
        <a:xfrm>
          <a:off x="0" y="4000500"/>
          <a:ext cx="21363819" cy="4064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29</xdr:row>
      <xdr:rowOff>0</xdr:rowOff>
    </xdr:from>
    <xdr:to>
      <xdr:col>24</xdr:col>
      <xdr:colOff>15118</xdr:colOff>
      <xdr:row>31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74F7A6E-5D4A-F345-BCCC-7F3617647F97}"/>
            </a:ext>
          </a:extLst>
        </xdr:cNvPr>
        <xdr:cNvSpPr>
          <a:spLocks noChangeArrowheads="1"/>
        </xdr:cNvSpPr>
      </xdr:nvSpPr>
      <xdr:spPr bwMode="auto">
        <a:xfrm>
          <a:off x="0" y="6032500"/>
          <a:ext cx="21363818" cy="4064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71842" dir="2700000" algn="ctr" rotWithShape="0">
            <a:srgbClr xmlns:mc="http://schemas.openxmlformats.org/markup-compatibility/2006" xmlns:a14="http://schemas.microsoft.com/office/drawing/2010/main" val="000000" mc:Ignorable="a14" a14:legacySpreadsheetColorIndex="8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/>
        <a:lstStyle/>
        <a:p>
          <a:endParaRPr lang="en-GB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omparable%20Companies_3E_Template.xlsx" TargetMode="External"/><Relationship Id="rId2" Type="http://schemas.openxmlformats.org/officeDocument/2006/relationships/externalLinkPath" Target="/Users/antoniomaria/Desktop/Finance%20&amp;%20Career%20/Models/Comparable%20Companies_3E_Template.xlsx" TargetMode="External"/><Relationship Id="rId1" Type="http://schemas.openxmlformats.org/officeDocument/2006/relationships/externalLinkPath" Target="/Users/antoniomaria/Desktop/Finance%20&amp;%20Career%20/Models/Comparable%20Companies_3E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List"/>
      <sheetName val="Benchmarking 1"/>
      <sheetName val="Benchmarking 2"/>
      <sheetName val="Ouput"/>
      <sheetName val="TargetCo"/>
      <sheetName val="CompCo 1"/>
      <sheetName val="CompCo 2"/>
      <sheetName val="CompCo 3"/>
      <sheetName val="CompCo 4"/>
      <sheetName val="CompCo 5"/>
      <sheetName val="CompCo 6"/>
      <sheetName val="CompCo 7"/>
      <sheetName val="CompCo 8"/>
      <sheetName val="CompCo 9"/>
      <sheetName val="CompCo 10"/>
      <sheetName val="CompCo 11"/>
      <sheetName val="CompCo 12"/>
      <sheetName val="CompCo 13"/>
      <sheetName val="CompCo 14"/>
      <sheetName val="CompCo 15"/>
      <sheetName val="Rights"/>
    </sheetNames>
    <sheetDataSet>
      <sheetData sheetId="0"/>
      <sheetData sheetId="1"/>
      <sheetData sheetId="2"/>
      <sheetData sheetId="3"/>
      <sheetData sheetId="4"/>
      <sheetData sheetId="5">
        <row r="10">
          <cell r="E10">
            <v>43465</v>
          </cell>
        </row>
        <row r="12">
          <cell r="E12" t="str">
            <v>NA</v>
          </cell>
        </row>
      </sheetData>
      <sheetData sheetId="6">
        <row r="10">
          <cell r="E10">
            <v>43465</v>
          </cell>
        </row>
      </sheetData>
      <sheetData sheetId="7">
        <row r="10">
          <cell r="E10">
            <v>43465</v>
          </cell>
        </row>
      </sheetData>
      <sheetData sheetId="8">
        <row r="10">
          <cell r="E10">
            <v>43465</v>
          </cell>
        </row>
      </sheetData>
      <sheetData sheetId="9">
        <row r="10">
          <cell r="E10">
            <v>43465</v>
          </cell>
        </row>
      </sheetData>
      <sheetData sheetId="10">
        <row r="10">
          <cell r="E10">
            <v>43465</v>
          </cell>
        </row>
      </sheetData>
      <sheetData sheetId="11">
        <row r="10">
          <cell r="E10">
            <v>43465</v>
          </cell>
        </row>
      </sheetData>
      <sheetData sheetId="12">
        <row r="10">
          <cell r="E10">
            <v>43465</v>
          </cell>
        </row>
      </sheetData>
      <sheetData sheetId="13">
        <row r="10">
          <cell r="E10">
            <v>43465</v>
          </cell>
        </row>
      </sheetData>
      <sheetData sheetId="14">
        <row r="10">
          <cell r="E10">
            <v>43465</v>
          </cell>
        </row>
      </sheetData>
      <sheetData sheetId="15">
        <row r="10">
          <cell r="E10">
            <v>43465</v>
          </cell>
        </row>
        <row r="12">
          <cell r="E12" t="str">
            <v>NA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1B9C-5296-E549-A20F-C94CDC27DAAD}">
  <dimension ref="A6:O35"/>
  <sheetViews>
    <sheetView showGridLines="0" workbookViewId="0">
      <selection activeCell="A35" sqref="A35"/>
    </sheetView>
  </sheetViews>
  <sheetFormatPr baseColWidth="10" defaultColWidth="9.1640625" defaultRowHeight="13" x14ac:dyDescent="0.15"/>
  <cols>
    <col min="1" max="16384" width="9.1640625" style="342"/>
  </cols>
  <sheetData>
    <row r="6" spans="7:15" ht="59" x14ac:dyDescent="0.55000000000000004">
      <c r="G6" s="340" t="s">
        <v>261</v>
      </c>
      <c r="H6" s="341"/>
      <c r="O6" s="341"/>
    </row>
    <row r="7" spans="7:15" ht="34" x14ac:dyDescent="0.4">
      <c r="G7" s="343" t="s">
        <v>257</v>
      </c>
    </row>
    <row r="8" spans="7:15" ht="34" x14ac:dyDescent="0.4">
      <c r="G8" s="344"/>
    </row>
    <row r="12" spans="7:15" ht="30" x14ac:dyDescent="0.3">
      <c r="G12" s="345" t="s">
        <v>258</v>
      </c>
    </row>
    <row r="20" spans="3:3" ht="24" x14ac:dyDescent="0.3">
      <c r="C20" s="346" t="s">
        <v>259</v>
      </c>
    </row>
    <row r="21" spans="3:3" ht="24" x14ac:dyDescent="0.3">
      <c r="C21" s="346" t="s">
        <v>260</v>
      </c>
    </row>
    <row r="35" spans="1:1" x14ac:dyDescent="0.15">
      <c r="A35" s="347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A8A0-7F4C-AD4E-A601-1B18FFB26680}">
  <dimension ref="A1:AE47"/>
  <sheetViews>
    <sheetView showGridLines="0" topLeftCell="A7" zoomScale="119" zoomScaleNormal="119" workbookViewId="0">
      <selection activeCell="E10" sqref="E10"/>
    </sheetView>
  </sheetViews>
  <sheetFormatPr baseColWidth="10" defaultRowHeight="16" x14ac:dyDescent="0.2"/>
  <cols>
    <col min="2" max="2" width="32.83203125" bestFit="1" customWidth="1"/>
    <col min="3" max="3" width="12.33203125" bestFit="1" customWidth="1"/>
    <col min="4" max="4" width="15.83203125" customWidth="1"/>
    <col min="5" max="6" width="12.83203125" customWidth="1"/>
    <col min="7" max="7" width="14.6640625" customWidth="1"/>
    <col min="8" max="8" width="14.33203125" customWidth="1"/>
    <col min="9" max="9" width="14" bestFit="1" customWidth="1"/>
    <col min="10" max="10" width="12.6640625" customWidth="1"/>
    <col min="11" max="11" width="14.6640625" bestFit="1" customWidth="1"/>
    <col min="12" max="12" width="14.83203125" customWidth="1"/>
    <col min="13" max="13" width="11.33203125" customWidth="1"/>
    <col min="14" max="14" width="12.6640625" customWidth="1"/>
    <col min="15" max="15" width="12.1640625" customWidth="1"/>
    <col min="16" max="16" width="16" customWidth="1"/>
    <col min="17" max="17" width="17.1640625" customWidth="1"/>
    <col min="18" max="19" width="17" customWidth="1"/>
    <col min="20" max="20" width="18.5" customWidth="1"/>
    <col min="24" max="24" width="15.5" bestFit="1" customWidth="1"/>
    <col min="25" max="25" width="16" bestFit="1" customWidth="1"/>
    <col min="26" max="26" width="15.83203125" bestFit="1" customWidth="1"/>
    <col min="27" max="27" width="21" bestFit="1" customWidth="1"/>
    <col min="31" max="31" width="15" bestFit="1" customWidth="1"/>
  </cols>
  <sheetData>
    <row r="1" spans="1:19" ht="25" x14ac:dyDescent="0.25">
      <c r="A1" s="61" t="s">
        <v>24</v>
      </c>
      <c r="B1" s="61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19" ht="20" x14ac:dyDescent="0.2">
      <c r="A2" s="64" t="s">
        <v>54</v>
      </c>
      <c r="B2" s="64"/>
      <c r="C2" s="62"/>
      <c r="D2" s="65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1:19" x14ac:dyDescent="0.2">
      <c r="A3" s="66" t="s">
        <v>256</v>
      </c>
      <c r="B3" s="66"/>
      <c r="C3" s="62"/>
      <c r="D3" s="65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</row>
    <row r="7" spans="1:19" x14ac:dyDescent="0.2">
      <c r="B7" s="67" t="s">
        <v>55</v>
      </c>
      <c r="C7" s="67"/>
      <c r="D7" s="67"/>
      <c r="G7" s="67" t="s">
        <v>77</v>
      </c>
      <c r="H7" s="67"/>
      <c r="I7" s="67"/>
      <c r="J7" s="67"/>
      <c r="K7" s="67"/>
    </row>
    <row r="8" spans="1:19" x14ac:dyDescent="0.2">
      <c r="B8" s="68" t="s">
        <v>56</v>
      </c>
      <c r="C8" s="70"/>
      <c r="D8" s="69" t="s">
        <v>24</v>
      </c>
      <c r="G8" s="88"/>
      <c r="H8" s="89"/>
      <c r="I8" s="89"/>
      <c r="J8" s="68"/>
      <c r="K8" s="90"/>
    </row>
    <row r="9" spans="1:19" x14ac:dyDescent="0.2">
      <c r="B9" s="68" t="s">
        <v>15</v>
      </c>
      <c r="C9" s="70"/>
      <c r="D9" s="69" t="s">
        <v>57</v>
      </c>
      <c r="G9" s="89"/>
      <c r="H9" s="89"/>
      <c r="I9" s="104" t="s">
        <v>88</v>
      </c>
      <c r="J9" s="104"/>
      <c r="K9" s="103" t="s">
        <v>87</v>
      </c>
    </row>
    <row r="10" spans="1:19" x14ac:dyDescent="0.2">
      <c r="B10" s="68" t="s">
        <v>58</v>
      </c>
      <c r="C10" s="70"/>
      <c r="D10" s="69" t="s">
        <v>95</v>
      </c>
      <c r="G10" s="68"/>
      <c r="H10" s="91"/>
      <c r="I10" s="92">
        <f>D11-365</f>
        <v>45657</v>
      </c>
      <c r="J10" s="92">
        <f>D11</f>
        <v>46022</v>
      </c>
      <c r="K10" s="92">
        <f>J10+365</f>
        <v>46387</v>
      </c>
    </row>
    <row r="11" spans="1:19" x14ac:dyDescent="0.2">
      <c r="B11" s="68" t="s">
        <v>59</v>
      </c>
      <c r="C11" s="71"/>
      <c r="D11" s="72">
        <v>46022</v>
      </c>
      <c r="G11" s="93" t="s">
        <v>5</v>
      </c>
      <c r="H11" s="85"/>
      <c r="I11" s="112">
        <v>7715</v>
      </c>
      <c r="J11" s="112">
        <v>9935</v>
      </c>
      <c r="K11" s="113">
        <v>14098</v>
      </c>
    </row>
    <row r="12" spans="1:19" x14ac:dyDescent="0.2">
      <c r="B12" s="68" t="s">
        <v>60</v>
      </c>
      <c r="C12" s="70"/>
      <c r="D12" s="69" t="s">
        <v>96</v>
      </c>
      <c r="G12" s="105" t="s">
        <v>89</v>
      </c>
      <c r="H12" s="68"/>
      <c r="I12" s="94">
        <f>3693+1844</f>
        <v>5537</v>
      </c>
      <c r="J12" s="94">
        <f>5252+2314</f>
        <v>7566</v>
      </c>
      <c r="K12" s="95">
        <f>10214.1+140.5</f>
        <v>10354.6</v>
      </c>
    </row>
    <row r="13" spans="1:19" x14ac:dyDescent="0.2">
      <c r="B13" s="68" t="s">
        <v>62</v>
      </c>
      <c r="C13" s="70"/>
      <c r="D13" s="69" t="s">
        <v>61</v>
      </c>
      <c r="G13" s="93" t="s">
        <v>78</v>
      </c>
      <c r="H13" s="68"/>
      <c r="I13" s="108">
        <f>I11-SUM(I12:I12)</f>
        <v>2178</v>
      </c>
      <c r="J13" s="108">
        <f t="shared" ref="J13:K13" si="0">J11-SUM(J12:J12)</f>
        <v>2369</v>
      </c>
      <c r="K13" s="111">
        <f t="shared" si="0"/>
        <v>3743.3999999999996</v>
      </c>
    </row>
    <row r="14" spans="1:19" x14ac:dyDescent="0.2">
      <c r="B14" s="68" t="s">
        <v>63</v>
      </c>
      <c r="C14" s="73"/>
      <c r="D14" s="74">
        <v>0.34</v>
      </c>
      <c r="G14" s="105" t="s">
        <v>94</v>
      </c>
      <c r="H14" s="96"/>
      <c r="I14" s="97">
        <f>132+178</f>
        <v>310</v>
      </c>
      <c r="J14" s="98">
        <f>521+273</f>
        <v>794</v>
      </c>
      <c r="K14" s="99">
        <f>J14*120%</f>
        <v>952.8</v>
      </c>
    </row>
    <row r="15" spans="1:19" x14ac:dyDescent="0.2">
      <c r="B15" s="68" t="s">
        <v>64</v>
      </c>
      <c r="C15" s="68"/>
      <c r="D15" s="75">
        <v>0.25</v>
      </c>
      <c r="G15" s="105" t="s">
        <v>93</v>
      </c>
      <c r="H15" s="96"/>
      <c r="I15" s="94">
        <f>284+891+33+9</f>
        <v>1217</v>
      </c>
      <c r="J15" s="94">
        <f>406+1112+7-47</f>
        <v>1478</v>
      </c>
      <c r="K15" s="95">
        <f>J15*140%</f>
        <v>2069.1999999999998</v>
      </c>
    </row>
    <row r="16" spans="1:19" x14ac:dyDescent="0.2">
      <c r="B16" s="63"/>
      <c r="C16" s="63"/>
      <c r="D16" s="63"/>
      <c r="G16" s="93" t="s">
        <v>79</v>
      </c>
      <c r="H16" s="96"/>
      <c r="I16" s="108">
        <f>I13+I14-I15</f>
        <v>1271</v>
      </c>
      <c r="J16" s="108">
        <f>J13+J14-J15</f>
        <v>1685</v>
      </c>
      <c r="K16" s="111">
        <f>K13-K15+K14</f>
        <v>2627</v>
      </c>
    </row>
    <row r="17" spans="2:12" x14ac:dyDescent="0.2">
      <c r="B17" s="67" t="s">
        <v>65</v>
      </c>
      <c r="C17" s="67"/>
      <c r="D17" s="67"/>
      <c r="G17" s="105" t="s">
        <v>80</v>
      </c>
      <c r="H17" s="96"/>
      <c r="I17" s="94">
        <f>116-14</f>
        <v>102</v>
      </c>
      <c r="J17" s="94">
        <f>116-4</f>
        <v>112</v>
      </c>
      <c r="K17" s="95">
        <v>100</v>
      </c>
    </row>
    <row r="18" spans="2:12" x14ac:dyDescent="0.2">
      <c r="B18" s="68" t="s">
        <v>66</v>
      </c>
      <c r="C18" s="76">
        <v>46110</v>
      </c>
      <c r="D18" s="118">
        <v>1379.5</v>
      </c>
      <c r="G18" s="93" t="s">
        <v>81</v>
      </c>
      <c r="H18" s="68"/>
      <c r="I18" s="108">
        <f t="shared" ref="I18:K18" si="1">I16-SUM(I17:I17)</f>
        <v>1169</v>
      </c>
      <c r="J18" s="108">
        <f t="shared" si="1"/>
        <v>1573</v>
      </c>
      <c r="K18" s="111">
        <f t="shared" si="1"/>
        <v>2527</v>
      </c>
    </row>
    <row r="19" spans="2:12" x14ac:dyDescent="0.2">
      <c r="B19" s="77" t="s">
        <v>67</v>
      </c>
      <c r="C19" s="78"/>
      <c r="D19" s="79">
        <f>+IF(ISERROR(D18/D20),"NA",D18/D20)</f>
        <v>0.68700199203187251</v>
      </c>
      <c r="G19" s="106" t="s">
        <v>82</v>
      </c>
      <c r="H19" s="68"/>
      <c r="I19" s="97">
        <v>328</v>
      </c>
      <c r="J19" s="98">
        <v>396</v>
      </c>
      <c r="K19" s="99">
        <f>J19*160.23%</f>
        <v>634.5107999999999</v>
      </c>
    </row>
    <row r="20" spans="2:12" x14ac:dyDescent="0.2">
      <c r="B20" s="80" t="s">
        <v>68</v>
      </c>
      <c r="C20" s="78"/>
      <c r="D20" s="81">
        <v>2008</v>
      </c>
      <c r="G20" s="106" t="s">
        <v>83</v>
      </c>
      <c r="H20" s="68"/>
      <c r="I20" s="98">
        <f>91</f>
        <v>91</v>
      </c>
      <c r="J20" s="98">
        <f>139</f>
        <v>139</v>
      </c>
      <c r="K20" s="99">
        <f t="shared" ref="K20:K21" si="2">J20*160.23%</f>
        <v>222.71969999999999</v>
      </c>
    </row>
    <row r="21" spans="2:12" x14ac:dyDescent="0.2">
      <c r="B21" s="80" t="s">
        <v>69</v>
      </c>
      <c r="C21" s="78"/>
      <c r="D21" s="81">
        <v>933</v>
      </c>
      <c r="G21" s="106" t="s">
        <v>91</v>
      </c>
      <c r="H21" s="68"/>
      <c r="I21" s="100">
        <v>32</v>
      </c>
      <c r="J21" s="100">
        <v>10</v>
      </c>
      <c r="K21" s="99">
        <f t="shared" si="2"/>
        <v>16.023</v>
      </c>
    </row>
    <row r="22" spans="2:12" ht="17" thickBot="1" x14ac:dyDescent="0.25">
      <c r="B22" s="80" t="s">
        <v>70</v>
      </c>
      <c r="C22" s="68"/>
      <c r="D22" s="81">
        <v>2.86</v>
      </c>
      <c r="G22" s="93" t="s">
        <v>90</v>
      </c>
      <c r="H22" s="68"/>
      <c r="I22" s="109">
        <f>I18-SUM(I19:I21)</f>
        <v>718</v>
      </c>
      <c r="J22" s="109">
        <f>J18-SUM(J19:J21)</f>
        <v>1028</v>
      </c>
      <c r="K22" s="110">
        <f>K18-SUM(K19:K21)</f>
        <v>1653.7465000000002</v>
      </c>
      <c r="L22" t="s">
        <v>139</v>
      </c>
    </row>
    <row r="23" spans="2:12" ht="17" thickTop="1" x14ac:dyDescent="0.2">
      <c r="B23" s="68" t="s">
        <v>97</v>
      </c>
      <c r="C23" s="68"/>
      <c r="D23" s="81">
        <v>1561</v>
      </c>
      <c r="G23" s="77" t="s">
        <v>84</v>
      </c>
      <c r="H23" s="77"/>
      <c r="I23" s="79">
        <f t="shared" ref="I23:K23" si="3">+IF(ISERROR(I19/I18),"NA",I19/I18)</f>
        <v>0.28058169375534647</v>
      </c>
      <c r="J23" s="79">
        <f t="shared" si="3"/>
        <v>0.25174825174825177</v>
      </c>
      <c r="K23" s="101">
        <f t="shared" si="3"/>
        <v>0.25109252077562322</v>
      </c>
    </row>
    <row r="24" spans="2:12" x14ac:dyDescent="0.2">
      <c r="B24" s="115"/>
      <c r="C24" s="116"/>
      <c r="D24" s="117">
        <f>+O42</f>
        <v>0</v>
      </c>
      <c r="G24" s="68"/>
      <c r="H24" s="68"/>
      <c r="I24" s="82"/>
      <c r="J24" s="82"/>
      <c r="K24" s="102"/>
    </row>
    <row r="25" spans="2:12" x14ac:dyDescent="0.2">
      <c r="B25" s="83" t="s">
        <v>71</v>
      </c>
      <c r="C25" s="68"/>
      <c r="D25" s="84">
        <v>45.25</v>
      </c>
      <c r="G25" s="68" t="s">
        <v>85</v>
      </c>
      <c r="H25" s="68"/>
      <c r="I25" s="97">
        <v>0</v>
      </c>
      <c r="J25" s="97">
        <v>0</v>
      </c>
      <c r="K25" s="99">
        <v>0</v>
      </c>
    </row>
    <row r="26" spans="2:12" x14ac:dyDescent="0.2">
      <c r="B26" s="85" t="s">
        <v>72</v>
      </c>
      <c r="C26" s="68"/>
      <c r="D26" s="120">
        <f>+D25*D23</f>
        <v>70635.25</v>
      </c>
      <c r="G26" s="93" t="s">
        <v>86</v>
      </c>
      <c r="H26" s="85"/>
      <c r="I26" s="108">
        <f>I22/D25</f>
        <v>15.867403314917127</v>
      </c>
      <c r="J26" s="108">
        <f>J22/D25</f>
        <v>22.718232044198896</v>
      </c>
      <c r="K26" s="107">
        <f>K22/D25</f>
        <v>36.546883977900556</v>
      </c>
    </row>
    <row r="27" spans="2:12" x14ac:dyDescent="0.2">
      <c r="B27" s="68"/>
      <c r="C27" s="68"/>
      <c r="D27" s="68"/>
      <c r="G27" s="68"/>
      <c r="H27" s="68"/>
      <c r="I27" s="82"/>
      <c r="J27" s="82"/>
      <c r="K27" s="102"/>
    </row>
    <row r="28" spans="2:12" x14ac:dyDescent="0.2">
      <c r="B28" s="83" t="s">
        <v>73</v>
      </c>
      <c r="C28" s="68"/>
      <c r="D28" s="86">
        <v>2019</v>
      </c>
      <c r="G28" s="85" t="s">
        <v>92</v>
      </c>
      <c r="H28" s="68"/>
      <c r="I28" s="82"/>
      <c r="J28" s="82"/>
      <c r="K28" s="102"/>
    </row>
    <row r="29" spans="2:12" x14ac:dyDescent="0.2">
      <c r="B29" s="83" t="s">
        <v>74</v>
      </c>
      <c r="C29" s="68"/>
      <c r="D29" s="86">
        <v>0</v>
      </c>
      <c r="G29" s="68" t="s">
        <v>6</v>
      </c>
      <c r="H29" s="68"/>
      <c r="I29" s="108">
        <v>1881</v>
      </c>
      <c r="J29" s="108">
        <v>2185</v>
      </c>
      <c r="K29" s="107">
        <v>3220</v>
      </c>
    </row>
    <row r="30" spans="2:12" x14ac:dyDescent="0.2">
      <c r="B30" s="83" t="s">
        <v>75</v>
      </c>
      <c r="C30" s="68"/>
      <c r="D30" s="87">
        <v>-1650</v>
      </c>
      <c r="G30" s="68" t="s">
        <v>133</v>
      </c>
      <c r="H30" s="68"/>
      <c r="I30" s="108">
        <v>4465</v>
      </c>
      <c r="J30" s="108">
        <v>5614</v>
      </c>
      <c r="K30" s="107"/>
    </row>
    <row r="31" spans="2:12" x14ac:dyDescent="0.2">
      <c r="B31" s="85" t="s">
        <v>76</v>
      </c>
      <c r="C31" s="68"/>
      <c r="D31" s="119">
        <f>SUM(D26:D30)</f>
        <v>71004.25</v>
      </c>
      <c r="G31" s="68" t="s">
        <v>134</v>
      </c>
      <c r="H31" s="68"/>
      <c r="I31" s="108">
        <v>14344</v>
      </c>
      <c r="J31" s="108">
        <v>16772</v>
      </c>
      <c r="K31" s="107"/>
    </row>
    <row r="32" spans="2:12" x14ac:dyDescent="0.2">
      <c r="B32" s="114"/>
      <c r="C32" s="114"/>
      <c r="D32" s="114"/>
      <c r="G32" s="68" t="s">
        <v>137</v>
      </c>
      <c r="H32" s="68"/>
      <c r="I32" s="108">
        <v>732</v>
      </c>
      <c r="J32" s="108">
        <v>872</v>
      </c>
      <c r="K32" s="107">
        <v>1525</v>
      </c>
    </row>
    <row r="34" spans="2:31" x14ac:dyDescent="0.2">
      <c r="B34" s="67" t="s">
        <v>99</v>
      </c>
      <c r="C34" s="67" t="s">
        <v>100</v>
      </c>
      <c r="D34" s="67" t="s">
        <v>101</v>
      </c>
      <c r="E34" s="67" t="s">
        <v>115</v>
      </c>
      <c r="F34" s="67" t="s">
        <v>145</v>
      </c>
      <c r="G34" s="67" t="s">
        <v>102</v>
      </c>
      <c r="H34" s="67" t="s">
        <v>103</v>
      </c>
      <c r="I34" s="67" t="s">
        <v>104</v>
      </c>
      <c r="J34" s="67" t="s">
        <v>105</v>
      </c>
      <c r="K34" s="67" t="s">
        <v>106</v>
      </c>
      <c r="L34" s="121" t="s">
        <v>107</v>
      </c>
      <c r="M34" s="121" t="s">
        <v>108</v>
      </c>
      <c r="N34" s="121" t="s">
        <v>109</v>
      </c>
      <c r="O34" s="121" t="s">
        <v>110</v>
      </c>
      <c r="P34" s="121" t="s">
        <v>111</v>
      </c>
      <c r="Q34" s="121" t="s">
        <v>112</v>
      </c>
      <c r="R34" s="121" t="s">
        <v>113</v>
      </c>
      <c r="S34" s="121" t="s">
        <v>143</v>
      </c>
      <c r="T34" s="121" t="s">
        <v>151</v>
      </c>
      <c r="U34" s="121" t="s">
        <v>130</v>
      </c>
      <c r="V34" s="121" t="s">
        <v>131</v>
      </c>
      <c r="W34" s="121" t="s">
        <v>132</v>
      </c>
      <c r="X34" s="121" t="s">
        <v>135</v>
      </c>
      <c r="Y34" s="121" t="s">
        <v>136</v>
      </c>
      <c r="Z34" s="121" t="s">
        <v>138</v>
      </c>
      <c r="AA34" s="121" t="s">
        <v>141</v>
      </c>
      <c r="AB34" s="121" t="s">
        <v>137</v>
      </c>
      <c r="AC34" s="121" t="s">
        <v>140</v>
      </c>
      <c r="AD34" s="121" t="s">
        <v>142</v>
      </c>
      <c r="AE34" s="121" t="s">
        <v>80</v>
      </c>
    </row>
    <row r="35" spans="2:31" x14ac:dyDescent="0.2">
      <c r="B35" s="123" t="s">
        <v>98</v>
      </c>
      <c r="C35" s="125"/>
      <c r="D35" s="124"/>
      <c r="E35" s="124"/>
      <c r="F35" s="124"/>
      <c r="G35" s="124"/>
      <c r="H35" s="124"/>
      <c r="I35" s="126"/>
      <c r="J35" s="124"/>
      <c r="K35" s="124"/>
      <c r="L35" s="126"/>
      <c r="M35" s="124"/>
      <c r="N35" s="124"/>
      <c r="O35" s="127"/>
      <c r="P35" s="124"/>
      <c r="Q35" s="124"/>
      <c r="R35" s="127"/>
      <c r="S35" s="124"/>
      <c r="T35" s="124"/>
      <c r="U35" s="124"/>
      <c r="V35" s="124"/>
      <c r="W35" s="135"/>
      <c r="X35" s="128"/>
      <c r="Y35" s="128"/>
      <c r="Z35" s="128"/>
      <c r="AA35" s="128"/>
      <c r="AB35" s="128"/>
      <c r="AC35" s="128"/>
      <c r="AD35" s="128"/>
      <c r="AE35" s="128"/>
    </row>
    <row r="36" spans="2:31" x14ac:dyDescent="0.2">
      <c r="B36" s="68" t="s">
        <v>127</v>
      </c>
      <c r="C36" s="125">
        <v>17.14</v>
      </c>
      <c r="D36" s="124">
        <v>2910</v>
      </c>
      <c r="E36" s="124">
        <f>C36*D36</f>
        <v>49877.4</v>
      </c>
      <c r="F36" s="124">
        <f>E36+T36</f>
        <v>54811.4</v>
      </c>
      <c r="G36" s="124">
        <v>28335</v>
      </c>
      <c r="H36" s="124">
        <v>30662</v>
      </c>
      <c r="I36" s="127">
        <v>33155</v>
      </c>
      <c r="J36" s="124">
        <v>4112</v>
      </c>
      <c r="K36" s="124">
        <v>4495</v>
      </c>
      <c r="L36" s="127">
        <v>4643</v>
      </c>
      <c r="M36" s="124">
        <v>3015</v>
      </c>
      <c r="N36" s="124">
        <v>3322</v>
      </c>
      <c r="O36" s="127">
        <v>3628</v>
      </c>
      <c r="P36" s="124">
        <v>1956</v>
      </c>
      <c r="Q36" s="124">
        <v>2062</v>
      </c>
      <c r="R36" s="127">
        <v>2315</v>
      </c>
      <c r="S36" s="124">
        <v>10153</v>
      </c>
      <c r="T36" s="124">
        <v>4934</v>
      </c>
      <c r="U36" s="124">
        <f>P36/D36</f>
        <v>0.6721649484536083</v>
      </c>
      <c r="V36" s="124">
        <f>Q36/D36</f>
        <v>0.70859106529209626</v>
      </c>
      <c r="W36" s="135">
        <f>R36/D36</f>
        <v>0.79553264604810991</v>
      </c>
      <c r="X36" s="128">
        <v>11616</v>
      </c>
      <c r="Y36" s="128">
        <v>11937</v>
      </c>
      <c r="Z36" s="128">
        <v>38142</v>
      </c>
      <c r="AA36" s="128">
        <v>37679</v>
      </c>
      <c r="AB36" s="128">
        <v>1103</v>
      </c>
      <c r="AC36" s="128">
        <f>K36-N36</f>
        <v>1173</v>
      </c>
      <c r="AD36" s="136">
        <v>0.22</v>
      </c>
      <c r="AE36" s="128">
        <v>504</v>
      </c>
    </row>
    <row r="37" spans="2:31" x14ac:dyDescent="0.2">
      <c r="B37" s="68" t="s">
        <v>128</v>
      </c>
      <c r="C37" s="125">
        <v>229.8</v>
      </c>
      <c r="D37" s="124">
        <v>205.523</v>
      </c>
      <c r="E37" s="124">
        <f>C37*D37</f>
        <v>47229.185400000002</v>
      </c>
      <c r="F37" s="124">
        <f t="shared" ref="F37:F40" si="4">E37+T37</f>
        <v>48867.685400000002</v>
      </c>
      <c r="G37" s="124">
        <v>20577</v>
      </c>
      <c r="H37" s="124">
        <v>22136</v>
      </c>
      <c r="I37" s="127">
        <v>23799</v>
      </c>
      <c r="J37" s="124">
        <v>2898</v>
      </c>
      <c r="K37" s="124">
        <v>3827</v>
      </c>
      <c r="L37" s="127">
        <v>3740</v>
      </c>
      <c r="M37" s="124">
        <v>2419</v>
      </c>
      <c r="N37" s="124">
        <v>2740</v>
      </c>
      <c r="O37" s="127">
        <v>3008</v>
      </c>
      <c r="P37" s="124">
        <v>1420</v>
      </c>
      <c r="Q37" s="124">
        <v>1675</v>
      </c>
      <c r="R37" s="127">
        <v>1852</v>
      </c>
      <c r="S37" s="124">
        <v>6129.5</v>
      </c>
      <c r="T37" s="124">
        <f>S37-4491</f>
        <v>1638.5</v>
      </c>
      <c r="U37" s="124">
        <f t="shared" ref="U37:U40" si="5">P37/D37</f>
        <v>6.909202376376367</v>
      </c>
      <c r="V37" s="124">
        <f t="shared" ref="V37:V40" si="6">Q37/D37</f>
        <v>8.1499394228383206</v>
      </c>
      <c r="W37" s="135">
        <f>R37/D37</f>
        <v>9.0111569021472047</v>
      </c>
      <c r="X37" s="128">
        <v>7558.1</v>
      </c>
      <c r="Y37" s="128">
        <v>7968.7</v>
      </c>
      <c r="Z37" s="128">
        <v>39989.800000000003</v>
      </c>
      <c r="AA37" s="128">
        <v>39155.4</v>
      </c>
      <c r="AB37" s="128">
        <v>756.7</v>
      </c>
      <c r="AC37" s="128">
        <f>K37-N37</f>
        <v>1087</v>
      </c>
      <c r="AD37" s="137">
        <v>0.20399999999999999</v>
      </c>
      <c r="AE37" s="128">
        <v>285.10000000000002</v>
      </c>
    </row>
    <row r="38" spans="2:31" x14ac:dyDescent="0.2">
      <c r="B38" s="68" t="s">
        <v>129</v>
      </c>
      <c r="C38" s="125">
        <v>49.16</v>
      </c>
      <c r="D38" s="124">
        <v>575.94000000000005</v>
      </c>
      <c r="E38" s="124">
        <f>C38*D38</f>
        <v>28313.2104</v>
      </c>
      <c r="F38" s="124">
        <f t="shared" si="4"/>
        <v>28956.2104</v>
      </c>
      <c r="G38" s="124">
        <v>17763</v>
      </c>
      <c r="H38" s="124">
        <v>19503</v>
      </c>
      <c r="I38" s="127">
        <v>21258</v>
      </c>
      <c r="J38" s="124">
        <v>2219</v>
      </c>
      <c r="K38" s="124">
        <v>2429</v>
      </c>
      <c r="L38" s="127">
        <v>2752</v>
      </c>
      <c r="M38" s="124">
        <v>1525</v>
      </c>
      <c r="N38" s="124">
        <v>1752</v>
      </c>
      <c r="O38" s="127">
        <v>2047</v>
      </c>
      <c r="P38" s="124">
        <v>1074</v>
      </c>
      <c r="Q38" s="124">
        <v>1224</v>
      </c>
      <c r="R38" s="127">
        <v>1259</v>
      </c>
      <c r="S38" s="124">
        <v>4489</v>
      </c>
      <c r="T38" s="124">
        <v>643</v>
      </c>
      <c r="U38" s="124">
        <f t="shared" si="5"/>
        <v>1.8647775809980205</v>
      </c>
      <c r="V38" s="124">
        <f t="shared" si="6"/>
        <v>2.1252213772267941</v>
      </c>
      <c r="W38" s="135">
        <f>R38/D38</f>
        <v>2.1859915963468413</v>
      </c>
      <c r="X38" s="128">
        <v>8990</v>
      </c>
      <c r="Y38" s="128">
        <v>9560</v>
      </c>
      <c r="Z38" s="128">
        <v>33673</v>
      </c>
      <c r="AA38" s="128">
        <v>34509</v>
      </c>
      <c r="AB38" s="128">
        <v>1016</v>
      </c>
      <c r="AC38" s="128">
        <f t="shared" ref="AC38:AC40" si="7">K38-N38</f>
        <v>677</v>
      </c>
      <c r="AD38" s="137">
        <v>0.191</v>
      </c>
      <c r="AE38" s="128">
        <v>96</v>
      </c>
    </row>
    <row r="39" spans="2:31" x14ac:dyDescent="0.2">
      <c r="B39" s="68" t="s">
        <v>116</v>
      </c>
      <c r="C39" s="125">
        <v>537.6</v>
      </c>
      <c r="D39" s="124">
        <v>529.82000000000005</v>
      </c>
      <c r="E39" s="124">
        <f>C39*D39</f>
        <v>284831.23200000002</v>
      </c>
      <c r="F39" s="124">
        <f t="shared" si="4"/>
        <v>290901.23200000002</v>
      </c>
      <c r="G39" s="124">
        <v>63751</v>
      </c>
      <c r="H39" s="124">
        <v>79146</v>
      </c>
      <c r="I39" s="127">
        <v>95669</v>
      </c>
      <c r="J39" s="124">
        <v>8402</v>
      </c>
      <c r="K39" s="124">
        <v>11347</v>
      </c>
      <c r="L39" s="127">
        <v>13656</v>
      </c>
      <c r="M39" s="124">
        <v>5662</v>
      </c>
      <c r="N39" s="124">
        <v>8066</v>
      </c>
      <c r="O39" s="127">
        <v>10050</v>
      </c>
      <c r="P39" s="124">
        <v>4171</v>
      </c>
      <c r="Q39" s="124">
        <v>6314</v>
      </c>
      <c r="R39" s="127">
        <v>7689</v>
      </c>
      <c r="S39" s="124">
        <v>14709</v>
      </c>
      <c r="T39" s="124">
        <v>6070</v>
      </c>
      <c r="U39" s="124">
        <f t="shared" si="5"/>
        <v>7.8724849949039291</v>
      </c>
      <c r="V39" s="124">
        <f t="shared" si="6"/>
        <v>11.917254916764183</v>
      </c>
      <c r="W39" s="135">
        <f>R39/D39</f>
        <v>14.512475935223282</v>
      </c>
      <c r="X39" s="128">
        <v>35503</v>
      </c>
      <c r="Y39" s="128">
        <v>43336</v>
      </c>
      <c r="Z39" s="128">
        <v>99823</v>
      </c>
      <c r="AA39" s="128">
        <v>124704</v>
      </c>
      <c r="AB39" s="128">
        <v>7222</v>
      </c>
      <c r="AC39" s="128">
        <f t="shared" si="7"/>
        <v>3281</v>
      </c>
      <c r="AD39" s="137">
        <v>0.20599999999999999</v>
      </c>
      <c r="AE39" s="128">
        <v>200</v>
      </c>
    </row>
    <row r="40" spans="2:31" x14ac:dyDescent="0.2">
      <c r="B40" s="68" t="s">
        <v>117</v>
      </c>
      <c r="C40" s="125">
        <v>258.60000000000002</v>
      </c>
      <c r="D40" s="124">
        <v>879.56</v>
      </c>
      <c r="E40" s="124">
        <f>C40*D40</f>
        <v>227454.21600000001</v>
      </c>
      <c r="F40" s="124">
        <f t="shared" si="4"/>
        <v>216522.21600000001</v>
      </c>
      <c r="G40" s="124">
        <v>48872</v>
      </c>
      <c r="H40" s="124">
        <v>58599</v>
      </c>
      <c r="I40" s="127">
        <v>69690</v>
      </c>
      <c r="J40" s="124">
        <v>8028</v>
      </c>
      <c r="K40" s="124">
        <v>11024</v>
      </c>
      <c r="L40" s="127">
        <v>12619</v>
      </c>
      <c r="M40" s="124">
        <v>6507</v>
      </c>
      <c r="N40" s="124">
        <v>9296</v>
      </c>
      <c r="O40" s="127">
        <v>10588</v>
      </c>
      <c r="P40" s="124">
        <v>5126</v>
      </c>
      <c r="Q40" s="124">
        <v>7953</v>
      </c>
      <c r="R40" s="127">
        <v>9004</v>
      </c>
      <c r="S40" s="124">
        <v>4934</v>
      </c>
      <c r="T40" s="124">
        <f>S40-15866</f>
        <v>-10932</v>
      </c>
      <c r="U40" s="124">
        <f t="shared" si="5"/>
        <v>5.8279139569784899</v>
      </c>
      <c r="V40" s="124">
        <f t="shared" si="6"/>
        <v>9.0420210105052536</v>
      </c>
      <c r="W40" s="135">
        <f>R40/D40</f>
        <v>10.236936650143255</v>
      </c>
      <c r="X40" s="128">
        <v>18677</v>
      </c>
      <c r="Y40" s="128">
        <v>22580</v>
      </c>
      <c r="Z40" s="128">
        <v>69414</v>
      </c>
      <c r="AA40" s="128">
        <v>82120</v>
      </c>
      <c r="AB40" s="128">
        <v>2856</v>
      </c>
      <c r="AC40" s="128">
        <f t="shared" si="7"/>
        <v>1728</v>
      </c>
      <c r="AD40" s="137">
        <v>0.2233</v>
      </c>
      <c r="AE40" s="128">
        <v>147</v>
      </c>
    </row>
    <row r="41" spans="2:31" x14ac:dyDescent="0.2">
      <c r="B41" s="123"/>
      <c r="C41" s="125"/>
      <c r="D41" s="124"/>
      <c r="E41" s="124"/>
      <c r="F41" s="124"/>
      <c r="G41" s="124"/>
      <c r="H41" s="124"/>
      <c r="I41" s="127"/>
      <c r="J41" s="124"/>
      <c r="K41" s="124"/>
      <c r="L41" s="127"/>
      <c r="M41" s="124"/>
      <c r="N41" s="124"/>
      <c r="O41" s="127"/>
      <c r="P41" s="124"/>
      <c r="Q41" s="124"/>
      <c r="R41" s="127"/>
      <c r="S41" s="124"/>
      <c r="T41" s="124"/>
      <c r="U41" s="124"/>
      <c r="V41" s="124"/>
      <c r="W41" s="135"/>
      <c r="X41" s="128"/>
      <c r="Y41" s="128"/>
      <c r="Z41" s="128"/>
      <c r="AA41" s="128"/>
      <c r="AB41" s="128"/>
      <c r="AC41" s="128"/>
      <c r="AD41" s="128"/>
      <c r="AE41" s="128"/>
    </row>
    <row r="42" spans="2:31" x14ac:dyDescent="0.2">
      <c r="B42" s="123" t="s">
        <v>144</v>
      </c>
      <c r="C42" s="125"/>
      <c r="D42" s="124"/>
      <c r="E42" s="124"/>
      <c r="F42" s="124"/>
      <c r="G42" s="124"/>
      <c r="H42" s="124"/>
      <c r="I42" s="127"/>
      <c r="J42" s="124"/>
      <c r="K42" s="124"/>
      <c r="L42" s="127"/>
      <c r="M42" s="124"/>
      <c r="N42" s="124"/>
      <c r="O42" s="127"/>
      <c r="P42" s="124"/>
      <c r="Q42" s="124"/>
      <c r="R42" s="127"/>
      <c r="S42" s="124"/>
      <c r="T42" s="124"/>
      <c r="U42" s="124"/>
      <c r="V42" s="124"/>
      <c r="W42" s="135"/>
      <c r="X42" s="128"/>
      <c r="Y42" s="128"/>
      <c r="Z42" s="128"/>
      <c r="AA42" s="128"/>
      <c r="AB42" s="128"/>
      <c r="AC42" s="128"/>
      <c r="AD42" s="128"/>
      <c r="AE42" s="128"/>
    </row>
    <row r="43" spans="2:31" x14ac:dyDescent="0.2">
      <c r="B43" s="68" t="s">
        <v>146</v>
      </c>
      <c r="C43" s="125">
        <v>483.67</v>
      </c>
      <c r="D43" s="124">
        <v>235.38499999999999</v>
      </c>
      <c r="E43" s="124">
        <f>C43*D43</f>
        <v>113848.66295</v>
      </c>
      <c r="F43" s="124">
        <f>E43+T43</f>
        <v>131427.66295</v>
      </c>
      <c r="G43" s="124">
        <v>71043</v>
      </c>
      <c r="H43" s="124">
        <v>75048</v>
      </c>
      <c r="I43" s="127">
        <v>79080</v>
      </c>
      <c r="J43" s="124">
        <v>8572</v>
      </c>
      <c r="K43" s="124">
        <v>9418</v>
      </c>
      <c r="L43" s="127">
        <v>11271</v>
      </c>
      <c r="M43" s="124">
        <v>7013</v>
      </c>
      <c r="N43" s="124">
        <v>7731</v>
      </c>
      <c r="O43" s="127">
        <v>9611</v>
      </c>
      <c r="P43" s="124">
        <v>5336</v>
      </c>
      <c r="Q43" s="124">
        <v>5017</v>
      </c>
      <c r="R43" s="141">
        <v>6908</v>
      </c>
      <c r="S43" s="124">
        <v>21700</v>
      </c>
      <c r="T43" s="124">
        <v>17579</v>
      </c>
      <c r="U43" s="124">
        <f>P43/D43</f>
        <v>22.669244004503263</v>
      </c>
      <c r="V43" s="124">
        <f>Q43/D43</f>
        <v>21.314017460755785</v>
      </c>
      <c r="W43" s="135">
        <f>R43/D43</f>
        <v>29.347664464600548</v>
      </c>
      <c r="X43" s="128">
        <v>6333</v>
      </c>
      <c r="Y43" s="128">
        <v>6721</v>
      </c>
      <c r="Z43" s="128">
        <v>55617</v>
      </c>
      <c r="AA43" s="128">
        <v>59840</v>
      </c>
      <c r="AB43" s="128">
        <v>1649</v>
      </c>
      <c r="AC43" s="128">
        <f>K43-N43</f>
        <v>1687</v>
      </c>
      <c r="AD43" s="137">
        <v>0.15279999999999999</v>
      </c>
      <c r="AE43" s="128">
        <v>1118</v>
      </c>
    </row>
    <row r="44" spans="2:31" x14ac:dyDescent="0.2">
      <c r="B44" s="122" t="s">
        <v>147</v>
      </c>
      <c r="C44" s="125">
        <v>570.21</v>
      </c>
      <c r="D44" s="128">
        <v>143.1</v>
      </c>
      <c r="E44" s="124">
        <f>C44*D44</f>
        <v>81597.051000000007</v>
      </c>
      <c r="F44" s="124">
        <f t="shared" ref="F44:F47" si="8">E44+T44</f>
        <v>92356.051000000007</v>
      </c>
      <c r="G44" s="142">
        <v>41033</v>
      </c>
      <c r="H44" s="142">
        <v>41954</v>
      </c>
      <c r="I44" s="127">
        <v>43870</v>
      </c>
      <c r="J44" s="142">
        <v>5740</v>
      </c>
      <c r="K44" s="142">
        <v>5983</v>
      </c>
      <c r="L44" s="127">
        <v>6182</v>
      </c>
      <c r="M44" s="142">
        <v>4370</v>
      </c>
      <c r="N44" s="142">
        <v>4511</v>
      </c>
      <c r="O44" s="127">
        <v>4643</v>
      </c>
      <c r="P44" s="142">
        <v>4174</v>
      </c>
      <c r="Q44" s="142">
        <v>4182</v>
      </c>
      <c r="R44" s="127">
        <v>3980</v>
      </c>
      <c r="S44" s="124">
        <v>17019</v>
      </c>
      <c r="T44" s="128">
        <v>10759</v>
      </c>
      <c r="U44" s="124">
        <f t="shared" ref="U44:U47" si="9">P44/D44</f>
        <v>29.168413696715586</v>
      </c>
      <c r="V44" s="124">
        <f t="shared" ref="V44:V47" si="10">Q44/D44</f>
        <v>29.224318658280925</v>
      </c>
      <c r="W44" s="135">
        <f>R44/D44</f>
        <v>27.812718378756117</v>
      </c>
      <c r="X44" s="128">
        <v>15290</v>
      </c>
      <c r="Y44" s="128">
        <v>16674</v>
      </c>
      <c r="Z44" s="128">
        <v>49359</v>
      </c>
      <c r="AA44" s="128">
        <v>51377</v>
      </c>
      <c r="AB44" s="128">
        <v>1450</v>
      </c>
      <c r="AC44" s="128">
        <f>K44-N44</f>
        <v>1472</v>
      </c>
      <c r="AD44" s="137">
        <v>0.17499999999999999</v>
      </c>
      <c r="AE44" s="128">
        <v>665</v>
      </c>
    </row>
    <row r="45" spans="2:31" x14ac:dyDescent="0.2">
      <c r="B45" s="122" t="s">
        <v>148</v>
      </c>
      <c r="C45" s="125">
        <v>336.66</v>
      </c>
      <c r="D45" s="128">
        <v>273.928</v>
      </c>
      <c r="E45" s="124">
        <f>C45*D45</f>
        <v>92220.600480000008</v>
      </c>
      <c r="F45" s="124">
        <f t="shared" si="8"/>
        <v>97900.600480000008</v>
      </c>
      <c r="G45" s="142">
        <v>47716</v>
      </c>
      <c r="H45" s="142">
        <v>52550</v>
      </c>
      <c r="I45" s="127">
        <v>54736</v>
      </c>
      <c r="J45" s="142">
        <v>5682</v>
      </c>
      <c r="K45" s="142">
        <v>6280</v>
      </c>
      <c r="L45" s="127">
        <v>6631</v>
      </c>
      <c r="M45" s="142">
        <v>4796</v>
      </c>
      <c r="N45" s="142">
        <v>5356</v>
      </c>
      <c r="O45" s="127">
        <v>5677</v>
      </c>
      <c r="P45" s="142">
        <v>3782</v>
      </c>
      <c r="Q45" s="142">
        <v>4210</v>
      </c>
      <c r="R45" s="127">
        <v>4452</v>
      </c>
      <c r="S45" s="124">
        <v>9789</v>
      </c>
      <c r="T45" s="128">
        <v>5680</v>
      </c>
      <c r="U45" s="124">
        <f t="shared" si="9"/>
        <v>13.806547705966532</v>
      </c>
      <c r="V45" s="124">
        <f t="shared" si="10"/>
        <v>15.369002073537573</v>
      </c>
      <c r="W45" s="135">
        <f>R45/D45</f>
        <v>16.252445898192224</v>
      </c>
      <c r="X45" s="128">
        <v>22063</v>
      </c>
      <c r="Y45" s="128">
        <v>25622</v>
      </c>
      <c r="Z45" s="128">
        <v>55880</v>
      </c>
      <c r="AA45" s="128">
        <v>57249</v>
      </c>
      <c r="AB45" s="128">
        <v>1161</v>
      </c>
      <c r="AC45" s="128">
        <f t="shared" ref="AC45:AC47" si="11">K45-N45</f>
        <v>924</v>
      </c>
      <c r="AD45" s="137">
        <v>0.32300000000000001</v>
      </c>
      <c r="AE45" s="128">
        <v>402</v>
      </c>
    </row>
    <row r="46" spans="2:31" x14ac:dyDescent="0.2">
      <c r="B46" s="122" t="s">
        <v>149</v>
      </c>
      <c r="C46" s="125">
        <v>297.39999999999998</v>
      </c>
      <c r="D46" s="128">
        <v>417.029</v>
      </c>
      <c r="E46" s="124">
        <f>C46*D46</f>
        <v>124024.42459999998</v>
      </c>
      <c r="F46" s="124">
        <f t="shared" si="8"/>
        <v>122560.42459999998</v>
      </c>
      <c r="G46" s="142">
        <v>27317</v>
      </c>
      <c r="H46" s="142">
        <v>31329</v>
      </c>
      <c r="I46" s="127">
        <v>35586</v>
      </c>
      <c r="J46" s="142">
        <v>5413</v>
      </c>
      <c r="K46" s="142">
        <v>7015</v>
      </c>
      <c r="L46" s="127">
        <v>7678</v>
      </c>
      <c r="M46" s="142">
        <v>4119</v>
      </c>
      <c r="N46" s="142">
        <v>5197</v>
      </c>
      <c r="O46" s="127">
        <v>6139</v>
      </c>
      <c r="P46" s="142">
        <v>-667</v>
      </c>
      <c r="Q46" s="142">
        <v>7177</v>
      </c>
      <c r="R46" s="127">
        <v>3956</v>
      </c>
      <c r="S46" s="124">
        <v>5325</v>
      </c>
      <c r="T46" s="128">
        <f>S46-6789</f>
        <v>-1464</v>
      </c>
      <c r="U46" s="124">
        <f t="shared" si="9"/>
        <v>-1.5994091537998556</v>
      </c>
      <c r="V46" s="124">
        <f t="shared" si="10"/>
        <v>17.209834328068311</v>
      </c>
      <c r="W46" s="135">
        <f>R46/D46</f>
        <v>9.4861508432267296</v>
      </c>
      <c r="X46" s="128">
        <v>10176</v>
      </c>
      <c r="Y46" s="128">
        <v>14839</v>
      </c>
      <c r="Z46" s="128">
        <v>55012</v>
      </c>
      <c r="AA46" s="128">
        <v>61814</v>
      </c>
      <c r="AB46" s="128">
        <v>1800</v>
      </c>
      <c r="AC46" s="128">
        <f t="shared" si="11"/>
        <v>1818</v>
      </c>
      <c r="AD46" s="137">
        <v>0.17499999999999999</v>
      </c>
      <c r="AE46" s="128">
        <v>135</v>
      </c>
    </row>
    <row r="47" spans="2:31" x14ac:dyDescent="0.2">
      <c r="B47" s="122" t="s">
        <v>150</v>
      </c>
      <c r="C47" s="125">
        <v>15.72</v>
      </c>
      <c r="D47" s="128">
        <v>8438</v>
      </c>
      <c r="E47" s="124">
        <f>C47*D47</f>
        <v>132645.36000000002</v>
      </c>
      <c r="F47" s="124">
        <f t="shared" si="8"/>
        <v>130883.36000000002</v>
      </c>
      <c r="G47" s="142">
        <v>17848</v>
      </c>
      <c r="H47" s="142">
        <v>20059</v>
      </c>
      <c r="I47" s="127">
        <v>22400</v>
      </c>
      <c r="J47" s="142">
        <v>3317</v>
      </c>
      <c r="K47" s="142">
        <v>4362</v>
      </c>
      <c r="L47" s="127">
        <v>4833</v>
      </c>
      <c r="M47" s="142">
        <v>2464</v>
      </c>
      <c r="N47" s="142">
        <v>3462</v>
      </c>
      <c r="O47" s="127">
        <v>3942</v>
      </c>
      <c r="P47" s="142">
        <v>2521</v>
      </c>
      <c r="Q47" s="142">
        <v>5841</v>
      </c>
      <c r="R47" s="127">
        <v>3089</v>
      </c>
      <c r="S47" s="124">
        <v>4272</v>
      </c>
      <c r="T47" s="128">
        <f>S47-6034</f>
        <v>-1762</v>
      </c>
      <c r="U47" s="124">
        <f t="shared" si="9"/>
        <v>0.29876748044560325</v>
      </c>
      <c r="V47" s="124">
        <f t="shared" si="10"/>
        <v>0.69222564588765112</v>
      </c>
      <c r="W47" s="135">
        <f>R47/D47</f>
        <v>0.36608200995496565</v>
      </c>
      <c r="X47" s="128">
        <v>-912</v>
      </c>
      <c r="Y47" s="128">
        <v>2753</v>
      </c>
      <c r="Z47" s="128">
        <v>35686</v>
      </c>
      <c r="AA47" s="128">
        <v>38115</v>
      </c>
      <c r="AB47" s="128">
        <v>985</v>
      </c>
      <c r="AC47" s="128">
        <f t="shared" si="11"/>
        <v>900</v>
      </c>
      <c r="AD47" s="137">
        <v>0.158</v>
      </c>
      <c r="AE47" s="128">
        <v>302</v>
      </c>
    </row>
  </sheetData>
  <mergeCells count="1">
    <mergeCell ref="I9:J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7379-A8DD-9D4A-A4E0-417E9EBCAAC4}">
  <dimension ref="A1:N31"/>
  <sheetViews>
    <sheetView showGridLines="0" zoomScale="118" zoomScaleNormal="118" workbookViewId="0">
      <selection activeCell="C19" sqref="C19"/>
    </sheetView>
  </sheetViews>
  <sheetFormatPr baseColWidth="10" defaultRowHeight="16" x14ac:dyDescent="0.2"/>
  <cols>
    <col min="2" max="2" width="12.5" customWidth="1"/>
    <col min="5" max="5" width="23.83203125" customWidth="1"/>
    <col min="6" max="6" width="14.5" bestFit="1" customWidth="1"/>
    <col min="7" max="7" width="12" bestFit="1" customWidth="1"/>
    <col min="8" max="8" width="13.5" bestFit="1" customWidth="1"/>
    <col min="9" max="9" width="7" customWidth="1"/>
    <col min="10" max="10" width="8.33203125" bestFit="1" customWidth="1"/>
    <col min="11" max="11" width="9.5" bestFit="1" customWidth="1"/>
  </cols>
  <sheetData>
    <row r="1" spans="1:14" ht="25" x14ac:dyDescent="0.25">
      <c r="A1" s="61" t="s">
        <v>24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</row>
    <row r="2" spans="1:14" ht="18" x14ac:dyDescent="0.2">
      <c r="A2" s="278" t="s">
        <v>213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</row>
    <row r="3" spans="1:14" x14ac:dyDescent="0.2">
      <c r="A3" s="279" t="s">
        <v>240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</row>
    <row r="4" spans="1:14" x14ac:dyDescent="0.2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</row>
    <row r="5" spans="1:14" x14ac:dyDescent="0.2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</row>
    <row r="6" spans="1:14" x14ac:dyDescent="0.2">
      <c r="A6" s="280" t="s">
        <v>214</v>
      </c>
      <c r="B6" s="280"/>
      <c r="C6" s="280"/>
      <c r="D6" s="187"/>
      <c r="E6" s="281" t="s">
        <v>215</v>
      </c>
      <c r="F6" s="281"/>
      <c r="G6" s="282"/>
      <c r="H6" s="281"/>
      <c r="I6" s="281"/>
      <c r="J6" s="281"/>
      <c r="K6" s="281"/>
    </row>
    <row r="7" spans="1:14" x14ac:dyDescent="0.2">
      <c r="A7" s="283" t="s">
        <v>216</v>
      </c>
      <c r="B7" s="187"/>
      <c r="C7" s="187"/>
      <c r="D7" s="187"/>
      <c r="E7" s="195"/>
      <c r="F7" s="190" t="s">
        <v>36</v>
      </c>
      <c r="G7" s="190" t="s">
        <v>217</v>
      </c>
      <c r="H7" s="190" t="s">
        <v>217</v>
      </c>
      <c r="I7" s="190" t="s">
        <v>218</v>
      </c>
      <c r="J7" s="190" t="s">
        <v>219</v>
      </c>
      <c r="K7" s="190" t="s">
        <v>220</v>
      </c>
    </row>
    <row r="8" spans="1:14" x14ac:dyDescent="0.2">
      <c r="A8" s="195" t="s">
        <v>221</v>
      </c>
      <c r="B8" s="195"/>
      <c r="C8" s="166">
        <f>'Data &amp; Forecasting '!D28/('Data &amp; Forecasting '!D28+'Data &amp; Forecasting '!D26)</f>
        <v>2.7789152045475659E-2</v>
      </c>
      <c r="D8" s="187"/>
      <c r="E8" s="284" t="s">
        <v>14</v>
      </c>
      <c r="F8" s="285" t="s">
        <v>222</v>
      </c>
      <c r="G8" s="285" t="s">
        <v>223</v>
      </c>
      <c r="H8" s="285" t="s">
        <v>224</v>
      </c>
      <c r="I8" s="285" t="s">
        <v>225</v>
      </c>
      <c r="J8" s="285" t="s">
        <v>142</v>
      </c>
      <c r="K8" s="285" t="s">
        <v>44</v>
      </c>
    </row>
    <row r="9" spans="1:14" x14ac:dyDescent="0.2">
      <c r="A9" s="286" t="s">
        <v>226</v>
      </c>
      <c r="B9" s="187"/>
      <c r="C9" s="287">
        <f>1-C8</f>
        <v>0.97221084795452439</v>
      </c>
      <c r="D9" s="187"/>
      <c r="E9" s="288" t="s">
        <v>120</v>
      </c>
      <c r="F9" s="289">
        <v>0.6</v>
      </c>
      <c r="G9" s="306">
        <f>'Data &amp; Forecasting '!S36</f>
        <v>10153</v>
      </c>
      <c r="H9" s="306">
        <f>'Data &amp; Forecasting '!E36</f>
        <v>49877.4</v>
      </c>
      <c r="I9" s="287">
        <f>+IF(ISERROR(G9/H9),0,G9/H9)</f>
        <v>0.20355912697935336</v>
      </c>
      <c r="J9" s="166">
        <f>'Data &amp; Forecasting '!AD36</f>
        <v>0.22</v>
      </c>
      <c r="K9" s="290">
        <f>+F9/(1+(I9)*(1-J9))</f>
        <v>0.51778768145054543</v>
      </c>
    </row>
    <row r="10" spans="1:14" x14ac:dyDescent="0.2">
      <c r="A10" s="286"/>
      <c r="B10" s="187"/>
      <c r="C10" s="291"/>
      <c r="D10" s="187"/>
      <c r="E10" s="288" t="s">
        <v>121</v>
      </c>
      <c r="F10" s="289">
        <v>0.67</v>
      </c>
      <c r="G10" s="306">
        <f>'Data &amp; Forecasting '!S37</f>
        <v>6129.5</v>
      </c>
      <c r="H10" s="306">
        <f>'Data &amp; Forecasting '!E37</f>
        <v>47229.185400000002</v>
      </c>
      <c r="I10" s="287">
        <f>+IF(ISERROR(G10/H10),0,G10/H10)</f>
        <v>0.12978203939126165</v>
      </c>
      <c r="J10" s="166">
        <f>'Data &amp; Forecasting '!AD37</f>
        <v>0.20399999999999999</v>
      </c>
      <c r="K10" s="290">
        <f>+F10/(1+(I10)*(1-J10))</f>
        <v>0.60726552228447339</v>
      </c>
      <c r="N10" s="318" t="s">
        <v>248</v>
      </c>
    </row>
    <row r="11" spans="1:14" x14ac:dyDescent="0.2">
      <c r="A11" s="187"/>
      <c r="B11" s="187"/>
      <c r="C11" s="187"/>
      <c r="D11" s="187"/>
      <c r="E11" s="288" t="s">
        <v>114</v>
      </c>
      <c r="F11" s="289">
        <v>0.93</v>
      </c>
      <c r="G11" s="306">
        <f>'Data &amp; Forecasting '!S38</f>
        <v>4489</v>
      </c>
      <c r="H11" s="306">
        <f>'Data &amp; Forecasting '!E38</f>
        <v>28313.2104</v>
      </c>
      <c r="I11" s="287">
        <f>+IF(ISERROR(G11/H11),0,G11/H11)</f>
        <v>0.15854789819242823</v>
      </c>
      <c r="J11" s="166">
        <f>'Data &amp; Forecasting '!AD38</f>
        <v>0.191</v>
      </c>
      <c r="K11" s="290">
        <f>+F11/(1+(I11)*(1-J11))</f>
        <v>0.82427425669509513</v>
      </c>
      <c r="M11" t="s">
        <v>247</v>
      </c>
      <c r="N11" s="318" t="s">
        <v>249</v>
      </c>
    </row>
    <row r="12" spans="1:14" x14ac:dyDescent="0.2">
      <c r="A12" s="283" t="s">
        <v>227</v>
      </c>
      <c r="B12" s="195"/>
      <c r="C12" s="195"/>
      <c r="D12" s="187"/>
      <c r="E12" s="288" t="s">
        <v>122</v>
      </c>
      <c r="F12" s="289">
        <v>0.55000000000000004</v>
      </c>
      <c r="G12" s="306">
        <f>'Data &amp; Forecasting '!S39</f>
        <v>14709</v>
      </c>
      <c r="H12" s="306">
        <f>'Data &amp; Forecasting '!E39</f>
        <v>284831.23200000002</v>
      </c>
      <c r="I12" s="287">
        <f>+IF(ISERROR(G12/H12),0,G12/H12)</f>
        <v>5.16411065483156E-2</v>
      </c>
      <c r="J12" s="166">
        <f>'Data &amp; Forecasting '!AD39</f>
        <v>0.20599999999999999</v>
      </c>
      <c r="K12" s="290">
        <f>+F12/(1+(I12)*(1-J12))</f>
        <v>0.52833659423320045</v>
      </c>
    </row>
    <row r="13" spans="1:14" x14ac:dyDescent="0.2">
      <c r="A13" s="195" t="s">
        <v>228</v>
      </c>
      <c r="B13" s="195"/>
      <c r="C13" s="166">
        <f>'Data &amp; Forecasting '!J17/'Data &amp; Forecasting '!D28</f>
        <v>5.5473006438831102E-2</v>
      </c>
      <c r="D13" s="187"/>
      <c r="E13" s="288" t="s">
        <v>123</v>
      </c>
      <c r="F13" s="289">
        <v>0.89</v>
      </c>
      <c r="G13" s="306">
        <f>'Data &amp; Forecasting '!S40</f>
        <v>4934</v>
      </c>
      <c r="H13" s="306">
        <f>'Data &amp; Forecasting '!E40</f>
        <v>227454.21600000001</v>
      </c>
      <c r="I13" s="287">
        <f>+IF(ISERROR(G13/H13),0,G13/H13)</f>
        <v>2.1692277623027219E-2</v>
      </c>
      <c r="J13" s="166">
        <f>'Data &amp; Forecasting '!AD40</f>
        <v>0.2233</v>
      </c>
      <c r="K13" s="290">
        <f>+F13/(1+(I13)*(1-J13))</f>
        <v>0.87525338779698125</v>
      </c>
    </row>
    <row r="14" spans="1:14" x14ac:dyDescent="0.2">
      <c r="A14" s="195" t="s">
        <v>142</v>
      </c>
      <c r="B14" s="195"/>
      <c r="C14" s="166">
        <f>'Data &amp; Forecasting '!J23</f>
        <v>0.25174825174825177</v>
      </c>
      <c r="D14" s="187"/>
      <c r="E14" s="292"/>
      <c r="F14" s="293"/>
      <c r="G14" s="294"/>
      <c r="H14" s="294"/>
      <c r="I14" s="295"/>
      <c r="J14" s="296"/>
      <c r="K14" s="297"/>
    </row>
    <row r="15" spans="1:14" x14ac:dyDescent="0.2">
      <c r="A15" s="218" t="s">
        <v>229</v>
      </c>
      <c r="B15" s="218"/>
      <c r="C15" s="219">
        <f>+C13*(1-C14)</f>
        <v>4.1507774048635857E-2</v>
      </c>
      <c r="D15" s="187"/>
      <c r="E15" s="298" t="s">
        <v>230</v>
      </c>
      <c r="F15" s="299">
        <f>AVERAGE(F9:F14)</f>
        <v>0.72799999999999998</v>
      </c>
      <c r="G15" s="300"/>
      <c r="H15" s="300"/>
      <c r="I15" s="301">
        <f>AVERAGE(I9:I14)</f>
        <v>0.1130444897468772</v>
      </c>
      <c r="J15" s="300"/>
      <c r="K15" s="299">
        <f>AVERAGE(K9:K14)</f>
        <v>0.67058348849205918</v>
      </c>
    </row>
    <row r="16" spans="1:14" x14ac:dyDescent="0.2">
      <c r="A16" s="218"/>
      <c r="B16" s="218"/>
      <c r="C16" s="187"/>
      <c r="D16" s="302"/>
      <c r="E16" s="298" t="s">
        <v>20</v>
      </c>
      <c r="F16" s="299">
        <f>MEDIAN(F9:F14)</f>
        <v>0.67</v>
      </c>
      <c r="G16" s="300"/>
      <c r="H16" s="300"/>
      <c r="I16" s="301">
        <f>MEDIAN(I9:I14)</f>
        <v>0.12978203939126165</v>
      </c>
      <c r="J16" s="300"/>
      <c r="K16" s="299">
        <f>MEDIAN(K9:K14)</f>
        <v>0.60726552228447339</v>
      </c>
    </row>
    <row r="17" spans="1:11" x14ac:dyDescent="0.2">
      <c r="A17" s="187"/>
      <c r="B17" s="187"/>
      <c r="C17" s="187"/>
      <c r="D17" s="302"/>
      <c r="E17" s="187"/>
      <c r="F17" s="187"/>
      <c r="G17" s="187"/>
      <c r="H17" s="187"/>
      <c r="I17" s="187"/>
      <c r="J17" s="187"/>
      <c r="K17" s="187"/>
    </row>
    <row r="18" spans="1:11" x14ac:dyDescent="0.2">
      <c r="A18" s="283" t="s">
        <v>231</v>
      </c>
      <c r="B18" s="195"/>
      <c r="C18" s="195"/>
      <c r="D18" s="195"/>
      <c r="E18" s="281" t="s">
        <v>241</v>
      </c>
      <c r="F18" s="281"/>
      <c r="G18" s="281"/>
      <c r="H18" s="281"/>
      <c r="I18" s="281"/>
      <c r="J18" s="281"/>
      <c r="K18" s="281"/>
    </row>
    <row r="19" spans="1:11" x14ac:dyDescent="0.2">
      <c r="A19" s="195" t="s">
        <v>232</v>
      </c>
      <c r="B19" s="195"/>
      <c r="C19" s="166">
        <v>3.0914000000000001E-2</v>
      </c>
      <c r="D19" s="302"/>
      <c r="E19" s="195"/>
      <c r="F19" s="195"/>
      <c r="G19" s="195"/>
      <c r="H19" s="190" t="s">
        <v>19</v>
      </c>
      <c r="I19" s="190" t="s">
        <v>233</v>
      </c>
      <c r="J19" s="190" t="s">
        <v>233</v>
      </c>
      <c r="K19" s="195"/>
    </row>
    <row r="20" spans="1:11" x14ac:dyDescent="0.2">
      <c r="A20" s="195" t="s">
        <v>234</v>
      </c>
      <c r="B20" s="195"/>
      <c r="C20" s="166">
        <v>5.5E-2</v>
      </c>
      <c r="D20" s="302"/>
      <c r="E20" s="195"/>
      <c r="F20" s="195"/>
      <c r="G20" s="195"/>
      <c r="H20" s="190" t="s">
        <v>220</v>
      </c>
      <c r="I20" s="190" t="s">
        <v>218</v>
      </c>
      <c r="J20" s="190" t="s">
        <v>219</v>
      </c>
      <c r="K20" s="190" t="s">
        <v>235</v>
      </c>
    </row>
    <row r="21" spans="1:11" x14ac:dyDescent="0.2">
      <c r="A21" s="195" t="s">
        <v>236</v>
      </c>
      <c r="B21" s="195"/>
      <c r="C21" s="290">
        <f>K22</f>
        <v>0.68492567706377827</v>
      </c>
      <c r="D21" s="302"/>
      <c r="E21" s="195"/>
      <c r="F21" s="195"/>
      <c r="G21" s="195"/>
      <c r="H21" s="285" t="s">
        <v>44</v>
      </c>
      <c r="I21" s="285" t="s">
        <v>225</v>
      </c>
      <c r="J21" s="285" t="s">
        <v>142</v>
      </c>
      <c r="K21" s="285" t="s">
        <v>44</v>
      </c>
    </row>
    <row r="22" spans="1:11" x14ac:dyDescent="0.2">
      <c r="A22" s="187" t="s">
        <v>237</v>
      </c>
      <c r="B22" s="187"/>
      <c r="C22" s="303">
        <v>5.0000000000000001E-3</v>
      </c>
      <c r="D22" s="302"/>
      <c r="E22" s="307" t="s">
        <v>238</v>
      </c>
      <c r="F22" s="308"/>
      <c r="G22" s="308"/>
      <c r="H22" s="290">
        <f>K15</f>
        <v>0.67058348849205918</v>
      </c>
      <c r="I22" s="287">
        <f>C8/C9</f>
        <v>2.8583462223181765E-2</v>
      </c>
      <c r="J22" s="287">
        <f>C14</f>
        <v>0.25174825174825177</v>
      </c>
      <c r="K22" s="304">
        <f>+H22*(1+(I22)*(1-J22))</f>
        <v>0.68492567706377827</v>
      </c>
    </row>
    <row r="23" spans="1:11" x14ac:dyDescent="0.2">
      <c r="A23" s="218" t="s">
        <v>239</v>
      </c>
      <c r="B23" s="195"/>
      <c r="C23" s="219">
        <f>+C19+(C21*C20)+C22</f>
        <v>7.3584912238507813E-2</v>
      </c>
      <c r="D23" s="302"/>
    </row>
    <row r="24" spans="1:11" x14ac:dyDescent="0.2">
      <c r="A24" s="218"/>
      <c r="B24" s="195"/>
      <c r="C24" s="187"/>
      <c r="D24" s="302"/>
    </row>
    <row r="25" spans="1:11" x14ac:dyDescent="0.2">
      <c r="A25" s="283"/>
      <c r="B25" s="195"/>
      <c r="C25" s="195"/>
      <c r="D25" s="302"/>
      <c r="G25" s="305"/>
      <c r="H25" s="305"/>
      <c r="I25" s="305"/>
      <c r="J25" s="305"/>
      <c r="K25" s="305"/>
    </row>
    <row r="26" spans="1:11" x14ac:dyDescent="0.2">
      <c r="A26" s="218" t="s">
        <v>183</v>
      </c>
      <c r="B26" s="195"/>
      <c r="C26" s="219">
        <f>(C8*C15)+(C9*C23)</f>
        <v>7.2693515768165726E-2</v>
      </c>
      <c r="D26" s="302"/>
      <c r="E26" s="305"/>
    </row>
    <row r="27" spans="1:11" x14ac:dyDescent="0.2">
      <c r="A27" s="302"/>
      <c r="B27" s="302"/>
      <c r="C27" s="302"/>
      <c r="D27" s="302"/>
      <c r="E27" s="305"/>
    </row>
    <row r="28" spans="1:11" x14ac:dyDescent="0.2">
      <c r="A28" s="302"/>
      <c r="B28" s="302"/>
      <c r="C28" s="302"/>
      <c r="D28" s="302"/>
      <c r="E28" s="305"/>
    </row>
    <row r="29" spans="1:11" x14ac:dyDescent="0.2">
      <c r="A29" s="187"/>
      <c r="B29" s="187"/>
      <c r="C29" s="187"/>
      <c r="D29" s="302"/>
      <c r="E29" s="305"/>
    </row>
    <row r="30" spans="1:11" x14ac:dyDescent="0.2">
      <c r="A30" s="187"/>
      <c r="B30" s="187"/>
      <c r="C30" s="187"/>
      <c r="D30" s="302"/>
      <c r="E30" s="305"/>
    </row>
    <row r="31" spans="1:11" x14ac:dyDescent="0.2">
      <c r="A31" s="187"/>
      <c r="B31" s="187"/>
      <c r="C31" s="187"/>
      <c r="D31" s="302"/>
      <c r="E31" s="305"/>
    </row>
  </sheetData>
  <mergeCells count="2">
    <mergeCell ref="G25:K25"/>
    <mergeCell ref="E26:E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E428-D521-7D4B-927C-B1BF47F2B836}">
  <dimension ref="A1:R60"/>
  <sheetViews>
    <sheetView showGridLines="0" tabSelected="1" topLeftCell="A24" zoomScale="125" zoomScaleNormal="157" workbookViewId="0">
      <selection activeCell="R3" sqref="R3"/>
    </sheetView>
  </sheetViews>
  <sheetFormatPr baseColWidth="10" defaultRowHeight="16" x14ac:dyDescent="0.2"/>
  <cols>
    <col min="4" max="4" width="11.1640625" bestFit="1" customWidth="1"/>
    <col min="6" max="6" width="16.1640625" customWidth="1"/>
    <col min="8" max="8" width="12.6640625" bestFit="1" customWidth="1"/>
    <col min="14" max="14" width="11.1640625" bestFit="1" customWidth="1"/>
  </cols>
  <sheetData>
    <row r="1" spans="1:18" ht="25" x14ac:dyDescent="0.25">
      <c r="A1" s="1" t="s">
        <v>24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18" ht="20" x14ac:dyDescent="0.2">
      <c r="A2" s="181" t="s">
        <v>170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</row>
    <row r="3" spans="1:18" ht="17" thickBot="1" x14ac:dyDescent="0.25">
      <c r="A3" s="182" t="s">
        <v>255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4"/>
      <c r="M3" s="183"/>
      <c r="N3" s="185"/>
    </row>
    <row r="4" spans="1:18" x14ac:dyDescent="0.2">
      <c r="A4" s="186"/>
      <c r="B4" s="187"/>
      <c r="D4" s="172"/>
      <c r="E4" s="160"/>
      <c r="F4" s="160"/>
      <c r="G4" s="160"/>
      <c r="H4" s="160"/>
      <c r="I4" s="160"/>
      <c r="J4" s="160"/>
      <c r="K4" s="160"/>
      <c r="L4" s="160"/>
      <c r="M4" s="160"/>
      <c r="N4" s="160"/>
    </row>
    <row r="5" spans="1:18" x14ac:dyDescent="0.2">
      <c r="A5" s="186" t="s">
        <v>171</v>
      </c>
      <c r="B5" s="187"/>
      <c r="D5" s="188" t="s">
        <v>172</v>
      </c>
      <c r="E5" s="189"/>
      <c r="F5" s="189"/>
      <c r="G5" s="190" t="s">
        <v>173</v>
      </c>
      <c r="H5" s="191"/>
      <c r="I5" s="192" t="s">
        <v>174</v>
      </c>
      <c r="J5" s="192"/>
      <c r="K5" s="192"/>
      <c r="L5" s="192"/>
      <c r="M5" s="192"/>
      <c r="N5" s="190" t="s">
        <v>173</v>
      </c>
    </row>
    <row r="6" spans="1:18" x14ac:dyDescent="0.2">
      <c r="A6" s="167"/>
      <c r="B6" s="191"/>
      <c r="C6" s="191"/>
      <c r="D6" s="151">
        <v>2022</v>
      </c>
      <c r="E6" s="151">
        <v>2023</v>
      </c>
      <c r="F6" s="151">
        <v>2024</v>
      </c>
      <c r="G6" s="262" t="s">
        <v>187</v>
      </c>
      <c r="H6" s="153">
        <v>2025</v>
      </c>
      <c r="I6" s="151">
        <v>2026</v>
      </c>
      <c r="J6" s="154">
        <v>2027</v>
      </c>
      <c r="K6" s="154">
        <v>2028</v>
      </c>
      <c r="L6" s="154">
        <v>2029</v>
      </c>
      <c r="M6" s="154">
        <v>2030</v>
      </c>
      <c r="N6" s="152" t="s">
        <v>188</v>
      </c>
    </row>
    <row r="7" spans="1:18" x14ac:dyDescent="0.2">
      <c r="A7" s="191" t="s">
        <v>5</v>
      </c>
      <c r="B7" s="191"/>
      <c r="C7" s="191"/>
      <c r="D7" s="269">
        <v>6410</v>
      </c>
      <c r="E7" s="269">
        <v>7176</v>
      </c>
      <c r="F7" s="269">
        <v>9751</v>
      </c>
      <c r="G7" s="251">
        <f>+IF(ISERROR((F7/D7)^(1/($F$6-$D$6))-1),"-",(F7/D7)^(1/($F$6-$D$6))-1)</f>
        <v>0.23337619916793728</v>
      </c>
      <c r="H7" s="270">
        <v>9935</v>
      </c>
      <c r="I7" s="271">
        <v>14098</v>
      </c>
      <c r="J7" s="272">
        <v>19148</v>
      </c>
      <c r="K7" s="272">
        <v>25403</v>
      </c>
      <c r="L7" s="273">
        <f>K7*(1+L8)</f>
        <v>31453.130144453728</v>
      </c>
      <c r="M7" s="273">
        <f>L7*(1+M8)</f>
        <v>36171.099666121787</v>
      </c>
      <c r="N7" s="251">
        <f>+IF(ISERROR((M7/I7)^(1/($M$6-$I$6))-1),"-",(M7/I7)^(1/($M$6-$I$6))-1)</f>
        <v>0.26561336250883083</v>
      </c>
    </row>
    <row r="8" spans="1:18" x14ac:dyDescent="0.2">
      <c r="A8" s="193" t="s">
        <v>175</v>
      </c>
      <c r="B8" s="172"/>
      <c r="C8" s="172"/>
      <c r="D8" s="248" t="s">
        <v>61</v>
      </c>
      <c r="E8" s="248">
        <f>+IF(ISERROR(E7/D7-1),0,E7/D7-1)</f>
        <v>0.11950078003120135</v>
      </c>
      <c r="F8" s="248">
        <f>+IF(ISERROR(F7/E7-1),0,F7/E7-1)</f>
        <v>0.35883500557413606</v>
      </c>
      <c r="G8" s="252"/>
      <c r="H8" s="249">
        <f>+IF(ISERROR(H7/F7-1),0,H7/F7-1)</f>
        <v>1.8869859501589481E-2</v>
      </c>
      <c r="I8" s="194">
        <f>+IF(ISERROR(I7/H7-1),0,I7/H7-1)</f>
        <v>0.41902365374937101</v>
      </c>
      <c r="J8" s="157">
        <f>+IF(ISERROR(J7/I7-1),0,J7/I7-1)</f>
        <v>0.35820683784934038</v>
      </c>
      <c r="K8" s="157">
        <f>+IF(ISERROR(K7/J7-1),0,K7/J7-1)</f>
        <v>0.32666597033632749</v>
      </c>
      <c r="L8" s="157">
        <f>K8-8.85%</f>
        <v>0.2381659703363275</v>
      </c>
      <c r="M8" s="157">
        <v>0.15</v>
      </c>
      <c r="N8" s="157"/>
    </row>
    <row r="9" spans="1:18" x14ac:dyDescent="0.2">
      <c r="A9" s="167" t="s">
        <v>6</v>
      </c>
      <c r="B9" s="167"/>
      <c r="C9" s="167"/>
      <c r="D9" s="269">
        <v>980</v>
      </c>
      <c r="E9" s="269">
        <v>1226</v>
      </c>
      <c r="F9" s="269">
        <v>1881</v>
      </c>
      <c r="G9" s="251">
        <f>+IF(ISERROR((F9/D9)^(1/($F$6-$D$6))-1),"-",(F9/D9)^(1/($F$6-$D$6))-1)</f>
        <v>0.38541970359239541</v>
      </c>
      <c r="H9" s="274">
        <v>2185</v>
      </c>
      <c r="I9" s="272">
        <v>3220</v>
      </c>
      <c r="J9" s="272">
        <v>4537</v>
      </c>
      <c r="K9" s="272">
        <v>6217</v>
      </c>
      <c r="L9" s="273">
        <f>L10*L7</f>
        <v>7800.3762758245248</v>
      </c>
      <c r="M9" s="273">
        <f>M10*M7</f>
        <v>9042.7749165304467</v>
      </c>
      <c r="N9" s="251">
        <f>+IF(ISERROR((M9/I9)^(1/($M$6-$I$6))-1),"-",(M9/I9)^(1/($M$6-$I$6))-1)</f>
        <v>0.29452804134219801</v>
      </c>
    </row>
    <row r="10" spans="1:18" x14ac:dyDescent="0.2">
      <c r="A10" s="193" t="s">
        <v>176</v>
      </c>
      <c r="B10" s="172"/>
      <c r="C10" s="172"/>
      <c r="D10" s="248">
        <f>+IF(ISERROR(D9/D7),0,D9/D7)</f>
        <v>0.15288611544461778</v>
      </c>
      <c r="E10" s="248">
        <f>+IF(ISERROR(E9/E7),0,E9/E7)</f>
        <v>0.17084726867335562</v>
      </c>
      <c r="F10" s="248">
        <f>+IF(ISERROR(F9/F7),0,F9/F7)</f>
        <v>0.19290329197005435</v>
      </c>
      <c r="G10" s="251"/>
      <c r="H10" s="249">
        <f>+IF(ISERROR(H9/H7),0,H9/H7)</f>
        <v>0.21992954202315049</v>
      </c>
      <c r="I10" s="194">
        <f>+IF(ISERROR(I9/I7),0,I9/I7)</f>
        <v>0.22840119165839126</v>
      </c>
      <c r="J10" s="157">
        <f>+IF(ISERROR(J9/J7),0,J9/J7)</f>
        <v>0.2369438061416336</v>
      </c>
      <c r="K10" s="157">
        <f>+IF(ISERROR(K9/K7),0,K9/K7)</f>
        <v>0.24473487383379916</v>
      </c>
      <c r="L10" s="157">
        <v>0.248</v>
      </c>
      <c r="M10" s="157">
        <v>0.25</v>
      </c>
      <c r="N10" s="156"/>
      <c r="O10" s="139"/>
      <c r="P10" s="318" t="s">
        <v>243</v>
      </c>
      <c r="Q10" s="139"/>
      <c r="R10" s="139"/>
    </row>
    <row r="11" spans="1:18" x14ac:dyDescent="0.2">
      <c r="A11" s="197" t="s">
        <v>177</v>
      </c>
      <c r="B11" s="172"/>
      <c r="C11" s="172"/>
      <c r="D11" s="253">
        <f>D9-D12</f>
        <v>249</v>
      </c>
      <c r="E11" s="253">
        <f t="shared" ref="E11:F11" si="0">E9-E12</f>
        <v>329</v>
      </c>
      <c r="F11" s="253">
        <f t="shared" si="0"/>
        <v>536</v>
      </c>
      <c r="G11" s="251"/>
      <c r="H11" s="254">
        <f>H9-H12</f>
        <v>501</v>
      </c>
      <c r="I11" s="158">
        <f>I9-I12</f>
        <v>593</v>
      </c>
      <c r="J11" s="158">
        <f t="shared" ref="J11:K11" si="1">J9-J12</f>
        <v>755</v>
      </c>
      <c r="K11" s="158">
        <f t="shared" si="1"/>
        <v>1049</v>
      </c>
      <c r="L11" s="158">
        <f t="shared" ref="L11" si="2">L9-L12</f>
        <v>1565.1842758245257</v>
      </c>
      <c r="M11" s="158">
        <f t="shared" ref="M11" si="3">M9-M12</f>
        <v>1498.1925965304481</v>
      </c>
      <c r="N11" s="155"/>
      <c r="O11" s="139" t="s">
        <v>246</v>
      </c>
      <c r="P11" s="318" t="s">
        <v>244</v>
      </c>
      <c r="Q11" s="139"/>
      <c r="R11" s="139"/>
    </row>
    <row r="12" spans="1:18" x14ac:dyDescent="0.2">
      <c r="A12" s="191" t="s">
        <v>10</v>
      </c>
      <c r="B12" s="191"/>
      <c r="C12" s="191"/>
      <c r="D12" s="269">
        <v>731</v>
      </c>
      <c r="E12" s="269">
        <v>897</v>
      </c>
      <c r="F12" s="269">
        <v>1345</v>
      </c>
      <c r="G12" s="251">
        <f>+IF(ISERROR((F12/D12)^(1/($F$6-$D$6))-1),"-",(F12/D12)^(1/($F$6-$D$6))-1)</f>
        <v>0.35644582657685109</v>
      </c>
      <c r="H12" s="274">
        <v>1684</v>
      </c>
      <c r="I12" s="272">
        <v>2627</v>
      </c>
      <c r="J12" s="272">
        <v>3782</v>
      </c>
      <c r="K12" s="272">
        <v>5168</v>
      </c>
      <c r="L12" s="273">
        <f>K12*(1+L13)</f>
        <v>6235.1919999999991</v>
      </c>
      <c r="M12" s="273">
        <f>L12*(1+M13)</f>
        <v>7544.5823199999986</v>
      </c>
      <c r="N12" s="251">
        <f>+IF(ISERROR((M12/I12)^(1/($M$6-$I$6))-1),"-",(M12/I12)^(1/($M$6-$I$6))-1)</f>
        <v>0.30179854616485824</v>
      </c>
      <c r="O12" s="139"/>
      <c r="P12" s="318" t="s">
        <v>245</v>
      </c>
      <c r="Q12" s="139"/>
      <c r="R12" s="139"/>
    </row>
    <row r="13" spans="1:18" x14ac:dyDescent="0.2">
      <c r="A13" s="193" t="s">
        <v>176</v>
      </c>
      <c r="B13" s="172"/>
      <c r="C13" s="172"/>
      <c r="D13" s="248">
        <f>+IF(ISERROR(D12/D7),0,D12/D7)</f>
        <v>0.1140405616224649</v>
      </c>
      <c r="E13" s="248">
        <f>+IF(ISERROR(E12/E7),0,E12/E7)</f>
        <v>0.125</v>
      </c>
      <c r="F13" s="248">
        <f>+IF(ISERROR(F12/F7),0,F12/F7)</f>
        <v>0.13793457081324992</v>
      </c>
      <c r="G13" s="251"/>
      <c r="H13" s="249">
        <f>+IF(ISERROR(H12/H7),0,H12/H7)</f>
        <v>0.16950176144942125</v>
      </c>
      <c r="I13" s="194">
        <f>+IF(ISERROR(I12/I7),0,I12/I7)</f>
        <v>0.18633848772875586</v>
      </c>
      <c r="J13" s="157">
        <f>+IF(ISERROR(J12/J7),0,J12/J7)</f>
        <v>0.19751410068936703</v>
      </c>
      <c r="K13" s="157">
        <f>+IF(ISERROR(K12/K7),0,K12/K7)</f>
        <v>0.20344053851907254</v>
      </c>
      <c r="L13" s="157">
        <v>0.20649999999999999</v>
      </c>
      <c r="M13" s="157">
        <v>0.21</v>
      </c>
      <c r="N13" s="156"/>
      <c r="O13" s="139"/>
      <c r="P13" s="139"/>
      <c r="Q13" s="139"/>
      <c r="R13" s="139"/>
    </row>
    <row r="14" spans="1:18" x14ac:dyDescent="0.2">
      <c r="A14" s="172" t="s">
        <v>178</v>
      </c>
      <c r="B14" s="172"/>
      <c r="C14" s="172"/>
      <c r="D14" s="255">
        <f>+D12*D58</f>
        <v>188.45179999999999</v>
      </c>
      <c r="E14" s="255">
        <f>+E12*E58</f>
        <v>203.619</v>
      </c>
      <c r="F14" s="255">
        <f>+F12*F58</f>
        <v>377.38237810094103</v>
      </c>
      <c r="G14" s="251"/>
      <c r="H14" s="256">
        <f>+H12*H58</f>
        <v>423.944055944056</v>
      </c>
      <c r="I14" s="263">
        <f>+I12*I58</f>
        <v>659.62005207756215</v>
      </c>
      <c r="J14" s="263">
        <f>+J12*J58</f>
        <v>949.63191357340702</v>
      </c>
      <c r="K14" s="263">
        <f>+K12*K58</f>
        <v>1297.6461473684208</v>
      </c>
      <c r="L14" s="263">
        <f>+L12*L58</f>
        <v>1565.6100767999994</v>
      </c>
      <c r="M14" s="263">
        <f>+M12*M58</f>
        <v>1894.3881929279992</v>
      </c>
      <c r="N14" s="155"/>
    </row>
    <row r="15" spans="1:18" x14ac:dyDescent="0.2">
      <c r="A15" s="167" t="s">
        <v>189</v>
      </c>
      <c r="B15" s="167"/>
      <c r="C15" s="167"/>
      <c r="D15" s="275">
        <f>+D12-D14</f>
        <v>542.54819999999995</v>
      </c>
      <c r="E15" s="275">
        <f>+E12-E14</f>
        <v>693.38099999999997</v>
      </c>
      <c r="F15" s="275">
        <f>+F12-F14</f>
        <v>967.61762189905903</v>
      </c>
      <c r="G15" s="251">
        <f>+IF(ISERROR((F15/D15)^(1/($F$6-$D$6))-1),"-",(F15/D15)^(1/($F$6-$D$6))-1)</f>
        <v>0.33546564737995133</v>
      </c>
      <c r="H15" s="276">
        <f t="shared" ref="H15:M15" si="4">+H12-H14</f>
        <v>1260.0559440559441</v>
      </c>
      <c r="I15" s="273">
        <f t="shared" si="4"/>
        <v>1967.3799479224379</v>
      </c>
      <c r="J15" s="273">
        <f t="shared" si="4"/>
        <v>2832.368086426593</v>
      </c>
      <c r="K15" s="273">
        <f t="shared" si="4"/>
        <v>3870.3538526315792</v>
      </c>
      <c r="L15" s="273">
        <f t="shared" si="4"/>
        <v>4669.5819231999994</v>
      </c>
      <c r="M15" s="273">
        <f t="shared" si="4"/>
        <v>5650.1941270719999</v>
      </c>
      <c r="N15" s="251">
        <f>+IF(ISERROR((M15/I15)^(1/($M$6-$I$6))-1),"-",(M15/I15)^(1/($M$6-$I$6))-1)</f>
        <v>0.30179854616485824</v>
      </c>
    </row>
    <row r="16" spans="1:18" x14ac:dyDescent="0.2">
      <c r="A16" s="172"/>
      <c r="B16" s="172"/>
      <c r="C16" s="172"/>
      <c r="D16" s="257"/>
      <c r="E16" s="257"/>
      <c r="F16" s="257"/>
      <c r="G16" s="258"/>
      <c r="H16" s="259"/>
      <c r="I16" s="159"/>
      <c r="J16" s="159"/>
      <c r="K16" s="159"/>
      <c r="L16" s="159"/>
      <c r="M16" s="159"/>
      <c r="N16" s="155"/>
    </row>
    <row r="17" spans="1:14" x14ac:dyDescent="0.2">
      <c r="A17" s="172" t="s">
        <v>179</v>
      </c>
      <c r="B17" s="172"/>
      <c r="C17" s="172"/>
      <c r="D17" s="260">
        <f>D11</f>
        <v>249</v>
      </c>
      <c r="E17" s="260">
        <f t="shared" ref="E17:M17" si="5">E11</f>
        <v>329</v>
      </c>
      <c r="F17" s="260">
        <f t="shared" si="5"/>
        <v>536</v>
      </c>
      <c r="G17" s="258"/>
      <c r="H17" s="261">
        <f t="shared" si="5"/>
        <v>501</v>
      </c>
      <c r="I17" s="161">
        <f t="shared" si="5"/>
        <v>593</v>
      </c>
      <c r="J17" s="161">
        <f t="shared" si="5"/>
        <v>755</v>
      </c>
      <c r="K17" s="161">
        <f t="shared" si="5"/>
        <v>1049</v>
      </c>
      <c r="L17" s="161">
        <f t="shared" si="5"/>
        <v>1565.1842758245257</v>
      </c>
      <c r="M17" s="161">
        <f t="shared" si="5"/>
        <v>1498.1925965304481</v>
      </c>
      <c r="N17" s="155"/>
    </row>
    <row r="18" spans="1:14" x14ac:dyDescent="0.2">
      <c r="A18" s="172" t="s">
        <v>180</v>
      </c>
      <c r="B18" s="172"/>
      <c r="C18" s="172"/>
      <c r="D18" s="260">
        <v>-349</v>
      </c>
      <c r="E18" s="260">
        <v>-398</v>
      </c>
      <c r="F18" s="260">
        <v>-732</v>
      </c>
      <c r="G18" s="258"/>
      <c r="H18" s="261">
        <v>-872</v>
      </c>
      <c r="I18" s="250">
        <v>-1525</v>
      </c>
      <c r="J18" s="250">
        <v>-1698</v>
      </c>
      <c r="K18" s="250">
        <v>-1914</v>
      </c>
      <c r="L18" s="250">
        <v>-2154.82799751228</v>
      </c>
      <c r="M18" s="250">
        <v>-2453.5901780583699</v>
      </c>
      <c r="N18" s="155"/>
    </row>
    <row r="19" spans="1:14" x14ac:dyDescent="0.2">
      <c r="A19" s="172" t="s">
        <v>181</v>
      </c>
      <c r="B19" s="172"/>
      <c r="C19" s="172"/>
      <c r="D19" s="265" t="s">
        <v>61</v>
      </c>
      <c r="E19" s="266">
        <f>-1633+1513</f>
        <v>-120</v>
      </c>
      <c r="F19" s="266">
        <f>-1449+1633</f>
        <v>184</v>
      </c>
      <c r="G19" s="266"/>
      <c r="H19" s="267">
        <f>-1830+1449</f>
        <v>-381</v>
      </c>
      <c r="I19" s="268">
        <f>-(I7-H7)*0.1</f>
        <v>-416.3</v>
      </c>
      <c r="J19" s="268">
        <f>-(J7-I7)*0.11</f>
        <v>-555.5</v>
      </c>
      <c r="K19" s="268">
        <f>-(K7-J7)*0.12</f>
        <v>-750.6</v>
      </c>
      <c r="L19" s="268">
        <f>-(L7-K7)*0.13</f>
        <v>-786.51691877898463</v>
      </c>
      <c r="M19" s="268">
        <f>-(M7-L7)*0.14</f>
        <v>-660.51573303352836</v>
      </c>
      <c r="N19" s="155"/>
    </row>
    <row r="20" spans="1:14" x14ac:dyDescent="0.2">
      <c r="A20" s="172"/>
      <c r="B20" s="172"/>
      <c r="C20" s="172"/>
      <c r="D20" s="161"/>
      <c r="E20" s="161"/>
      <c r="F20" s="161"/>
      <c r="G20" s="161"/>
      <c r="H20" s="264"/>
      <c r="I20" s="161"/>
      <c r="J20" s="161"/>
      <c r="K20" s="164"/>
      <c r="L20" s="164"/>
      <c r="M20" s="164"/>
      <c r="N20" s="155"/>
    </row>
    <row r="21" spans="1:14" x14ac:dyDescent="0.2">
      <c r="A21" s="167" t="s">
        <v>182</v>
      </c>
      <c r="B21" s="167"/>
      <c r="C21" s="167"/>
      <c r="D21" s="171"/>
      <c r="E21" s="171"/>
      <c r="F21" s="171"/>
      <c r="G21" s="171"/>
      <c r="H21" s="165"/>
      <c r="I21" s="314">
        <f>+I15+SUM(I17:I19)</f>
        <v>619.0799479224379</v>
      </c>
      <c r="J21" s="314">
        <f>+J15+SUM(J17:J19)</f>
        <v>1333.868086426593</v>
      </c>
      <c r="K21" s="314">
        <f>+K15+SUM(K17:K19)</f>
        <v>2254.7538526315793</v>
      </c>
      <c r="L21" s="314">
        <f>+L15+SUM(L17:L19)</f>
        <v>3293.4212827332603</v>
      </c>
      <c r="M21" s="314">
        <f>+M15+SUM(M17:M19)</f>
        <v>4034.2808125105498</v>
      </c>
      <c r="N21" s="165"/>
    </row>
    <row r="22" spans="1:14" x14ac:dyDescent="0.2">
      <c r="A22" s="198" t="s">
        <v>183</v>
      </c>
      <c r="B22" s="167"/>
      <c r="C22" s="167"/>
      <c r="D22" s="199">
        <f>WACC!C26</f>
        <v>7.2693515768165726E-2</v>
      </c>
      <c r="E22" s="167"/>
      <c r="F22" s="168"/>
      <c r="G22" s="168"/>
      <c r="H22" s="165"/>
      <c r="I22" s="169"/>
      <c r="J22" s="169"/>
      <c r="K22" s="169"/>
      <c r="L22" s="169"/>
      <c r="M22" s="169"/>
      <c r="N22" s="165"/>
    </row>
    <row r="23" spans="1:14" x14ac:dyDescent="0.2">
      <c r="A23" s="198" t="s">
        <v>184</v>
      </c>
      <c r="B23" s="167"/>
      <c r="C23" s="167"/>
      <c r="D23" s="170"/>
      <c r="E23" s="171"/>
      <c r="F23" s="171"/>
      <c r="G23" s="171"/>
      <c r="H23" s="165"/>
      <c r="I23" s="169">
        <f>IF($D$5="Y",I6-$I$6-0.5,I6-$I$6)</f>
        <v>0</v>
      </c>
      <c r="J23" s="169">
        <f>IF($D$5="Y",J6-$I$6-0.5,J6-$I$6)</f>
        <v>1</v>
      </c>
      <c r="K23" s="169">
        <f>IF($D$5="Y",K6-$I$6-0.5,K6-$I$6)</f>
        <v>2</v>
      </c>
      <c r="L23" s="169">
        <f>IF($D$5="Y",L6-$I$6-0.5,L6-$I$6)</f>
        <v>3</v>
      </c>
      <c r="M23" s="169">
        <f>IF($D$5="Y",M6-$I$6-0.5,M6-$I$6)</f>
        <v>4</v>
      </c>
      <c r="N23" s="165"/>
    </row>
    <row r="24" spans="1:14" x14ac:dyDescent="0.2">
      <c r="A24" s="198" t="s">
        <v>185</v>
      </c>
      <c r="B24" s="172"/>
      <c r="C24" s="172"/>
      <c r="D24" s="172"/>
      <c r="E24" s="172"/>
      <c r="F24" s="172"/>
      <c r="G24" s="172"/>
      <c r="H24" s="173"/>
      <c r="I24" s="174">
        <f>1/((1+$D$22)^(I23))</f>
        <v>1</v>
      </c>
      <c r="J24" s="174">
        <f t="shared" ref="J24:M24" si="6">1/((1+$D$22)^(J23))</f>
        <v>0.93223272565779502</v>
      </c>
      <c r="K24" s="174">
        <f t="shared" si="6"/>
        <v>0.86905785478736175</v>
      </c>
      <c r="L24" s="174">
        <f t="shared" si="6"/>
        <v>0.81016417272273844</v>
      </c>
      <c r="M24" s="174">
        <f t="shared" si="6"/>
        <v>0.75526155496761116</v>
      </c>
      <c r="N24" s="175"/>
    </row>
    <row r="25" spans="1:14" x14ac:dyDescent="0.2">
      <c r="A25" s="200" t="s">
        <v>186</v>
      </c>
      <c r="B25" s="177"/>
      <c r="C25" s="177"/>
      <c r="D25" s="176"/>
      <c r="E25" s="177"/>
      <c r="F25" s="177"/>
      <c r="G25" s="178"/>
      <c r="H25" s="179"/>
      <c r="I25" s="315">
        <f>+I21*I24</f>
        <v>619.0799479224379</v>
      </c>
      <c r="J25" s="315">
        <f>+J21*J24</f>
        <v>1243.4754818774102</v>
      </c>
      <c r="K25" s="315">
        <f>+K21*K24</f>
        <v>1959.5115462415395</v>
      </c>
      <c r="L25" s="315">
        <f>+L21*L24</f>
        <v>2668.2119289530519</v>
      </c>
      <c r="M25" s="315">
        <f>+M21*M24</f>
        <v>3046.9371996327154</v>
      </c>
      <c r="N25" s="171"/>
    </row>
    <row r="26" spans="1:14" x14ac:dyDescent="0.2">
      <c r="A26" s="159"/>
      <c r="B26" s="159"/>
      <c r="C26" s="159"/>
      <c r="D26" s="201"/>
      <c r="E26" s="159"/>
      <c r="F26" s="159"/>
      <c r="G26" s="168"/>
      <c r="H26" s="163"/>
      <c r="I26" s="168"/>
      <c r="J26" s="168"/>
      <c r="K26" s="168"/>
      <c r="L26" s="168"/>
      <c r="M26" s="168"/>
      <c r="N26" s="168"/>
    </row>
    <row r="27" spans="1:14" x14ac:dyDescent="0.2">
      <c r="A27" s="159"/>
      <c r="B27" s="159"/>
      <c r="C27" s="159"/>
      <c r="D27" s="159"/>
      <c r="E27" s="159"/>
      <c r="F27" s="159"/>
      <c r="G27" s="159"/>
      <c r="H27" s="163"/>
      <c r="I27" s="159"/>
      <c r="J27" s="159"/>
      <c r="K27" s="202"/>
      <c r="L27" s="159"/>
      <c r="M27" s="172"/>
      <c r="N27" s="172"/>
    </row>
    <row r="28" spans="1:14" x14ac:dyDescent="0.2">
      <c r="A28" s="203" t="s">
        <v>190</v>
      </c>
      <c r="B28" s="204"/>
      <c r="C28" s="204"/>
      <c r="D28" s="204"/>
      <c r="E28" s="172"/>
      <c r="F28" s="205" t="s">
        <v>191</v>
      </c>
      <c r="G28" s="205"/>
      <c r="H28" s="205"/>
      <c r="I28" s="205"/>
      <c r="J28" s="172"/>
      <c r="K28" s="203" t="s">
        <v>192</v>
      </c>
      <c r="L28" s="204"/>
      <c r="M28" s="204"/>
      <c r="N28" s="206"/>
    </row>
    <row r="29" spans="1:14" x14ac:dyDescent="0.2">
      <c r="A29" s="207" t="s">
        <v>193</v>
      </c>
      <c r="B29" s="207"/>
      <c r="C29" s="207"/>
      <c r="D29" s="313">
        <f>+SUM(I25:M25)</f>
        <v>9537.216104627154</v>
      </c>
      <c r="E29" s="172"/>
      <c r="F29" s="172" t="s">
        <v>190</v>
      </c>
      <c r="G29" s="172"/>
      <c r="H29" s="173"/>
      <c r="I29" s="317">
        <f>D39</f>
        <v>85939.209527213796</v>
      </c>
      <c r="J29" s="172"/>
      <c r="K29" s="172" t="str">
        <f>"Terminal Year Free Cash Flow ("&amp;M6&amp;"E)"</f>
        <v>Terminal Year Free Cash Flow (2030E)</v>
      </c>
      <c r="L29" s="172"/>
      <c r="M29" s="172"/>
      <c r="N29" s="317">
        <f>+M21</f>
        <v>4034.2808125105498</v>
      </c>
    </row>
    <row r="30" spans="1:14" x14ac:dyDescent="0.2">
      <c r="A30" s="208"/>
      <c r="B30" s="209"/>
      <c r="C30" s="209"/>
      <c r="D30" s="210"/>
      <c r="E30" s="172"/>
      <c r="F30" s="172" t="s">
        <v>194</v>
      </c>
      <c r="G30" s="172"/>
      <c r="H30" s="172"/>
      <c r="I30" s="162">
        <f>-'Data &amp; Forecasting '!D28</f>
        <v>-2019</v>
      </c>
      <c r="J30" s="172"/>
      <c r="K30" s="172" t="s">
        <v>195</v>
      </c>
      <c r="L30" s="172"/>
      <c r="M30" s="172"/>
      <c r="N30" s="211">
        <f>+D22</f>
        <v>7.2693515768165726E-2</v>
      </c>
    </row>
    <row r="31" spans="1:14" x14ac:dyDescent="0.2">
      <c r="A31" s="212" t="s">
        <v>196</v>
      </c>
      <c r="B31" s="212"/>
      <c r="C31" s="212"/>
      <c r="D31" s="212"/>
      <c r="E31" s="172"/>
      <c r="F31" s="172" t="s">
        <v>197</v>
      </c>
      <c r="G31" s="172"/>
      <c r="H31" s="172"/>
      <c r="I31" s="162">
        <v>0</v>
      </c>
      <c r="J31" s="172"/>
      <c r="K31" s="172" t="str">
        <f>+A31</f>
        <v>Terminal Value</v>
      </c>
      <c r="L31" s="172"/>
      <c r="M31" s="172"/>
      <c r="N31" s="131">
        <f>+D34</f>
        <v>108513.29899836535</v>
      </c>
    </row>
    <row r="32" spans="1:14" x14ac:dyDescent="0.2">
      <c r="A32" s="172" t="str">
        <f>"Terminal Year EBITDA ("&amp;M6&amp;"E)"</f>
        <v>Terminal Year EBITDA (2030E)</v>
      </c>
      <c r="B32" s="214"/>
      <c r="C32" s="214"/>
      <c r="D32" s="312">
        <f>+M9</f>
        <v>9042.7749165304467</v>
      </c>
      <c r="E32" s="172"/>
      <c r="F32" s="172" t="s">
        <v>198</v>
      </c>
      <c r="G32" s="172"/>
      <c r="H32" s="172"/>
      <c r="I32" s="162">
        <f>-'Data &amp; Forecasting '!J20</f>
        <v>-139</v>
      </c>
      <c r="J32" s="172"/>
      <c r="K32" s="160"/>
      <c r="L32" s="160"/>
      <c r="M32" s="160"/>
      <c r="N32" s="160"/>
    </row>
    <row r="33" spans="1:14" x14ac:dyDescent="0.2">
      <c r="A33" s="215" t="s">
        <v>199</v>
      </c>
      <c r="B33" s="215"/>
      <c r="C33" s="215"/>
      <c r="D33" s="216">
        <v>12</v>
      </c>
      <c r="E33" s="172"/>
      <c r="F33" s="172" t="s">
        <v>200</v>
      </c>
      <c r="G33" s="172"/>
      <c r="H33" s="172"/>
      <c r="I33" s="217">
        <f>-'Data &amp; Forecasting '!D30</f>
        <v>1650</v>
      </c>
      <c r="J33" s="172"/>
      <c r="K33" s="218" t="s">
        <v>192</v>
      </c>
      <c r="L33" s="172"/>
      <c r="M33" s="172"/>
      <c r="N33" s="219">
        <f>+IF(ISERROR(IF(C5="Y",((D34*D22)-M21*(1+D22)^0.5)/(D34+M21*(1+D22)^0.5),((N31*N30)-N29)/(N31+N29))),"- %",IF(C5="Y",((D34*D22)-M21*(1+D22)^0.5)/(D34+M21*(1+D22)^0.5),((N31*N30)-N29)/(N31+N29)))</f>
        <v>3.4242694563125418E-2</v>
      </c>
    </row>
    <row r="34" spans="1:14" x14ac:dyDescent="0.2">
      <c r="A34" s="220" t="s">
        <v>201</v>
      </c>
      <c r="B34" s="220"/>
      <c r="C34" s="220"/>
      <c r="D34" s="311">
        <f>+D32*D33</f>
        <v>108513.29899836535</v>
      </c>
      <c r="E34" s="172"/>
      <c r="F34" s="172"/>
      <c r="G34" s="172"/>
      <c r="H34" s="172"/>
      <c r="I34" s="172" t="s">
        <v>202</v>
      </c>
      <c r="J34" s="172"/>
      <c r="K34" s="172"/>
      <c r="L34" s="172"/>
      <c r="M34" s="172"/>
      <c r="N34" s="172"/>
    </row>
    <row r="35" spans="1:14" x14ac:dyDescent="0.2">
      <c r="A35" s="215" t="s">
        <v>203</v>
      </c>
      <c r="B35" s="215"/>
      <c r="C35" s="215"/>
      <c r="D35" s="222">
        <f>1/((1+$D$22)^(M6-H6))</f>
        <v>0.70407953797200074</v>
      </c>
      <c r="E35" s="172"/>
      <c r="F35" s="218" t="s">
        <v>204</v>
      </c>
      <c r="G35" s="172"/>
      <c r="H35" s="172"/>
      <c r="I35" s="323">
        <f>+I29+SUM(I30:I33)</f>
        <v>85431.209527213796</v>
      </c>
      <c r="J35" s="172"/>
      <c r="K35" s="203" t="s">
        <v>205</v>
      </c>
      <c r="L35" s="204"/>
      <c r="M35" s="204"/>
      <c r="N35" s="206"/>
    </row>
    <row r="36" spans="1:14" x14ac:dyDescent="0.2">
      <c r="A36" s="220" t="s">
        <v>206</v>
      </c>
      <c r="B36" s="220"/>
      <c r="C36" s="220"/>
      <c r="D36" s="311">
        <f>+D34*D35</f>
        <v>76401.993422586645</v>
      </c>
      <c r="E36" s="172"/>
      <c r="F36" s="321"/>
      <c r="G36" s="321"/>
      <c r="H36" s="321"/>
      <c r="I36" s="321"/>
      <c r="J36" s="172"/>
      <c r="K36" s="213" t="str">
        <f>+F29</f>
        <v>Enterprise Value</v>
      </c>
      <c r="L36" s="172"/>
      <c r="M36" s="172"/>
      <c r="N36" s="317">
        <f>D39</f>
        <v>85939.209527213796</v>
      </c>
    </row>
    <row r="37" spans="1:14" x14ac:dyDescent="0.2">
      <c r="A37" s="208" t="s">
        <v>207</v>
      </c>
      <c r="B37" s="215"/>
      <c r="C37" s="215"/>
      <c r="D37" s="156">
        <f>+IF(ISERROR(D36/D39),"- %",D36/D39)</f>
        <v>0.88902369294417283</v>
      </c>
      <c r="E37" s="172"/>
      <c r="F37" s="172" t="s">
        <v>71</v>
      </c>
      <c r="G37" s="172"/>
      <c r="H37" s="172"/>
      <c r="I37" s="164">
        <f>'Data &amp; Forecasting '!D25</f>
        <v>45.25</v>
      </c>
      <c r="J37" s="172"/>
      <c r="K37" s="172" t="s">
        <v>242</v>
      </c>
      <c r="L37" s="172"/>
      <c r="M37" s="172"/>
      <c r="N37" s="316">
        <f>M9</f>
        <v>9042.7749165304467</v>
      </c>
    </row>
    <row r="38" spans="1:14" x14ac:dyDescent="0.2">
      <c r="A38" s="215"/>
      <c r="B38" s="215"/>
      <c r="C38" s="215"/>
      <c r="D38" s="223"/>
      <c r="E38" s="172"/>
      <c r="F38" s="319" t="s">
        <v>251</v>
      </c>
      <c r="G38" s="172"/>
      <c r="H38" s="172"/>
      <c r="I38" s="309">
        <f>'Data &amp; Forecasting '!D23</f>
        <v>1561</v>
      </c>
      <c r="J38" s="172"/>
      <c r="K38" s="172"/>
      <c r="L38" s="172"/>
      <c r="M38" s="172"/>
      <c r="N38" s="172"/>
    </row>
    <row r="39" spans="1:14" x14ac:dyDescent="0.2">
      <c r="A39" s="224" t="s">
        <v>76</v>
      </c>
      <c r="B39" s="224"/>
      <c r="C39" s="224"/>
      <c r="D39" s="310">
        <f>+D36+D29</f>
        <v>85939.209527213796</v>
      </c>
      <c r="E39" s="172"/>
      <c r="F39" s="196" t="s">
        <v>250</v>
      </c>
      <c r="G39" s="172"/>
      <c r="H39" s="172"/>
      <c r="I39" s="309">
        <f>+IF(ISERROR(I35/I37),"NA",I35/I37)</f>
        <v>1887.9825309881501</v>
      </c>
      <c r="J39" s="172"/>
      <c r="K39" s="218" t="s">
        <v>205</v>
      </c>
      <c r="L39" s="172"/>
      <c r="M39" s="172"/>
      <c r="N39" s="225">
        <f>+IF(ISERROR(N36/N37),"- x",N36/N37)</f>
        <v>9.5036324933969674</v>
      </c>
    </row>
    <row r="40" spans="1:14" x14ac:dyDescent="0.2">
      <c r="A40" s="172"/>
      <c r="B40" s="172"/>
      <c r="C40" s="172"/>
      <c r="D40" s="172"/>
      <c r="E40" s="172"/>
      <c r="F40" s="319" t="s">
        <v>252</v>
      </c>
      <c r="G40" s="172"/>
      <c r="H40" s="172"/>
      <c r="I40" s="320">
        <f>(I39-I38)/I38</f>
        <v>0.2094699109469251</v>
      </c>
      <c r="J40" s="172"/>
      <c r="K40" s="172"/>
      <c r="L40" s="172"/>
      <c r="M40" s="172"/>
      <c r="N40" s="172"/>
    </row>
    <row r="41" spans="1:14" x14ac:dyDescent="0.2">
      <c r="A41" s="172"/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</row>
    <row r="42" spans="1:14" x14ac:dyDescent="0.2">
      <c r="A42" s="172"/>
      <c r="B42" s="339" t="s">
        <v>190</v>
      </c>
      <c r="C42" s="339"/>
      <c r="D42" s="339"/>
      <c r="E42" s="339"/>
      <c r="F42" s="339"/>
      <c r="G42" s="339"/>
      <c r="H42" s="172"/>
      <c r="I42" s="339" t="s">
        <v>192</v>
      </c>
      <c r="J42" s="339"/>
      <c r="K42" s="339"/>
      <c r="L42" s="339"/>
      <c r="M42" s="339"/>
      <c r="N42" s="339"/>
    </row>
    <row r="43" spans="1:14" x14ac:dyDescent="0.2">
      <c r="A43" s="209"/>
      <c r="B43" s="172"/>
      <c r="C43" s="226" t="s">
        <v>199</v>
      </c>
      <c r="D43" s="226"/>
      <c r="E43" s="226"/>
      <c r="F43" s="226"/>
      <c r="G43" s="226"/>
      <c r="H43" s="172"/>
      <c r="I43" s="172"/>
      <c r="J43" s="226" t="s">
        <v>199</v>
      </c>
      <c r="K43" s="226"/>
      <c r="L43" s="226"/>
      <c r="M43" s="226"/>
      <c r="N43" s="226"/>
    </row>
    <row r="44" spans="1:14" x14ac:dyDescent="0.2">
      <c r="A44" s="209"/>
      <c r="B44" s="227">
        <f>+D39</f>
        <v>85939.209527213796</v>
      </c>
      <c r="C44" s="228">
        <f>+D44-0.5</f>
        <v>11</v>
      </c>
      <c r="D44" s="228">
        <f>+E44-0.5</f>
        <v>11.5</v>
      </c>
      <c r="E44" s="229">
        <v>12</v>
      </c>
      <c r="F44" s="228">
        <f>+E44+0.5</f>
        <v>12.5</v>
      </c>
      <c r="G44" s="228">
        <f>+F44+0.5</f>
        <v>13</v>
      </c>
      <c r="H44" s="230"/>
      <c r="I44" s="227">
        <f>+N33</f>
        <v>3.4242694563125418E-2</v>
      </c>
      <c r="J44" s="228">
        <f>+K44-0.5</f>
        <v>11</v>
      </c>
      <c r="K44" s="228">
        <f>+L44-0.5</f>
        <v>11.5</v>
      </c>
      <c r="L44" s="229">
        <v>12</v>
      </c>
      <c r="M44" s="228">
        <f>+L44+0.5</f>
        <v>12.5</v>
      </c>
      <c r="N44" s="228">
        <f>+M44+0.5</f>
        <v>13</v>
      </c>
    </row>
    <row r="45" spans="1:14" x14ac:dyDescent="0.2">
      <c r="A45" s="231" t="s">
        <v>195</v>
      </c>
      <c r="B45" s="232">
        <f>+B46-0.005</f>
        <v>6.4999999999999988E-2</v>
      </c>
      <c r="C45" s="233">
        <f t="dataTable" ref="C45:G49" dt2D="1" dtr="1" r1="D33" r2="D22" ca="1"/>
        <v>82323.487684152191</v>
      </c>
      <c r="D45" s="234">
        <v>85623.561744426173</v>
      </c>
      <c r="E45" s="234">
        <v>88923.635804700141</v>
      </c>
      <c r="F45" s="234">
        <v>92223.709864974124</v>
      </c>
      <c r="G45" s="234">
        <v>95523.783925248092</v>
      </c>
      <c r="H45" s="231" t="s">
        <v>195</v>
      </c>
      <c r="I45" s="232">
        <f>+I46-0.005</f>
        <v>6.4999999999999988E-2</v>
      </c>
      <c r="J45" s="235">
        <f t="dataTable" ref="J45:N49" dt2D="1" dtr="1" r1="D33" r2="D22"/>
        <v>2.3489762193074207E-2</v>
      </c>
      <c r="K45" s="236">
        <v>2.5227154435848238E-2</v>
      </c>
      <c r="L45" s="236">
        <v>2.6824953743620629E-2</v>
      </c>
      <c r="M45" s="236">
        <v>2.8299334011838699E-2</v>
      </c>
      <c r="N45" s="236">
        <v>2.9664063404074376E-2</v>
      </c>
    </row>
    <row r="46" spans="1:14" x14ac:dyDescent="0.2">
      <c r="A46" s="231"/>
      <c r="B46" s="232">
        <f>+B47-0.005</f>
        <v>6.9999999999999993E-2</v>
      </c>
      <c r="C46" s="233">
        <v>80522.33022685074</v>
      </c>
      <c r="D46" s="237">
        <v>83746.016996684644</v>
      </c>
      <c r="E46" s="237">
        <v>86969.703766518534</v>
      </c>
      <c r="F46" s="237">
        <v>90193.390536352439</v>
      </c>
      <c r="G46" s="234">
        <v>93417.077306186329</v>
      </c>
      <c r="H46" s="231"/>
      <c r="I46" s="232">
        <f>+I47-0.005</f>
        <v>6.9999999999999993E-2</v>
      </c>
      <c r="J46" s="235">
        <v>2.8294878447501792E-2</v>
      </c>
      <c r="K46" s="238">
        <v>3.0040427461368657E-2</v>
      </c>
      <c r="L46" s="238">
        <v>3.1645728174341858E-2</v>
      </c>
      <c r="M46" s="238">
        <v>3.3127030415650155E-2</v>
      </c>
      <c r="N46" s="236">
        <v>3.4498166988131074E-2</v>
      </c>
    </row>
    <row r="47" spans="1:14" x14ac:dyDescent="0.2">
      <c r="A47" s="231"/>
      <c r="B47" s="239">
        <v>7.4999999999999997E-2</v>
      </c>
      <c r="C47" s="233">
        <v>78769.997606047691</v>
      </c>
      <c r="D47" s="237">
        <v>81919.409070301874</v>
      </c>
      <c r="E47" s="240">
        <v>85068.820534556071</v>
      </c>
      <c r="F47" s="237">
        <v>88218.231998810268</v>
      </c>
      <c r="G47" s="234">
        <v>91367.643463064465</v>
      </c>
      <c r="H47" s="231"/>
      <c r="I47" s="239">
        <v>7.4999999999999997E-2</v>
      </c>
      <c r="J47" s="235">
        <v>3.3099994701929369E-2</v>
      </c>
      <c r="K47" s="238">
        <v>3.4853700486889079E-2</v>
      </c>
      <c r="L47" s="241">
        <v>3.6466502605063088E-2</v>
      </c>
      <c r="M47" s="238">
        <v>3.7954726819461611E-2</v>
      </c>
      <c r="N47" s="236">
        <v>3.9332270572187758E-2</v>
      </c>
    </row>
    <row r="48" spans="1:14" x14ac:dyDescent="0.2">
      <c r="A48" s="231"/>
      <c r="B48" s="232">
        <f>+B47+0.005</f>
        <v>0.08</v>
      </c>
      <c r="C48" s="233">
        <v>77064.93911848907</v>
      </c>
      <c r="D48" s="237">
        <v>80142.11944986353</v>
      </c>
      <c r="E48" s="237">
        <v>83219.299781237991</v>
      </c>
      <c r="F48" s="237">
        <v>86296.480112612451</v>
      </c>
      <c r="G48" s="234">
        <v>89373.660443986912</v>
      </c>
      <c r="H48" s="231"/>
      <c r="I48" s="232">
        <f>+I47+0.005</f>
        <v>0.08</v>
      </c>
      <c r="J48" s="235">
        <v>3.7905110956356958E-2</v>
      </c>
      <c r="K48" s="238">
        <v>3.9666973512409498E-2</v>
      </c>
      <c r="L48" s="238">
        <v>4.128727703578431E-2</v>
      </c>
      <c r="M48" s="238">
        <v>4.278242322327306E-2</v>
      </c>
      <c r="N48" s="236">
        <v>4.4166374156244456E-2</v>
      </c>
    </row>
    <row r="49" spans="1:14" x14ac:dyDescent="0.2">
      <c r="A49" s="231"/>
      <c r="B49" s="232">
        <f>+B48+0.005</f>
        <v>8.5000000000000006E-2</v>
      </c>
      <c r="C49" s="233">
        <v>75405.660313039989</v>
      </c>
      <c r="D49" s="234">
        <v>78412.588349073019</v>
      </c>
      <c r="E49" s="234">
        <v>81419.516385106035</v>
      </c>
      <c r="F49" s="234">
        <v>84426.444421139066</v>
      </c>
      <c r="G49" s="234">
        <v>87433.372457172081</v>
      </c>
      <c r="H49" s="231"/>
      <c r="I49" s="232">
        <f>+I48+0.005</f>
        <v>8.5000000000000006E-2</v>
      </c>
      <c r="J49" s="235">
        <v>4.2710227210784539E-2</v>
      </c>
      <c r="K49" s="236">
        <v>4.448024653792991E-2</v>
      </c>
      <c r="L49" s="236">
        <v>4.6108051466505547E-2</v>
      </c>
      <c r="M49" s="236">
        <v>4.7610119627084523E-2</v>
      </c>
      <c r="N49" s="236">
        <v>4.900047774030114E-2</v>
      </c>
    </row>
    <row r="50" spans="1:14" x14ac:dyDescent="0.2">
      <c r="A50" s="202"/>
      <c r="B50" s="224"/>
      <c r="C50" s="224"/>
      <c r="D50" s="221"/>
      <c r="E50" s="211"/>
      <c r="F50" s="211"/>
      <c r="G50" s="211"/>
      <c r="H50" s="202"/>
      <c r="I50" s="172"/>
      <c r="J50" s="242"/>
      <c r="K50" s="242"/>
      <c r="L50" s="242"/>
      <c r="M50" s="242"/>
      <c r="N50" s="242"/>
    </row>
    <row r="51" spans="1:14" x14ac:dyDescent="0.2">
      <c r="A51" s="202"/>
      <c r="B51" s="224"/>
      <c r="C51" s="224"/>
      <c r="D51" s="221"/>
      <c r="E51" s="211"/>
      <c r="F51" s="211"/>
      <c r="G51" s="211"/>
      <c r="H51" s="202"/>
      <c r="I51" s="322"/>
      <c r="J51" s="242"/>
      <c r="K51" s="242"/>
      <c r="L51" s="242"/>
      <c r="M51" s="242"/>
      <c r="N51" s="242"/>
    </row>
    <row r="52" spans="1:14" x14ac:dyDescent="0.2">
      <c r="A52" s="202"/>
      <c r="B52" s="224"/>
      <c r="C52" s="224"/>
      <c r="D52" s="221"/>
      <c r="E52" s="211"/>
      <c r="F52" s="211"/>
      <c r="G52" s="211"/>
      <c r="H52" s="202"/>
      <c r="I52" s="172"/>
      <c r="J52" s="242"/>
      <c r="K52" s="242"/>
      <c r="L52" s="242"/>
      <c r="M52" s="242"/>
      <c r="N52" s="242"/>
    </row>
    <row r="53" spans="1:14" x14ac:dyDescent="0.2">
      <c r="A53" s="202"/>
      <c r="B53" s="224"/>
      <c r="C53" s="224"/>
      <c r="D53" s="221"/>
      <c r="E53" s="243"/>
      <c r="F53" s="243"/>
      <c r="G53" s="243"/>
      <c r="H53" s="244"/>
      <c r="I53" s="242"/>
      <c r="J53" s="242"/>
      <c r="K53" s="242"/>
      <c r="L53" s="242"/>
      <c r="M53" s="242"/>
      <c r="N53" s="172"/>
    </row>
    <row r="54" spans="1:14" x14ac:dyDescent="0.2">
      <c r="A54" s="245" t="s">
        <v>208</v>
      </c>
      <c r="B54" s="224"/>
      <c r="C54" s="224"/>
      <c r="D54" s="221"/>
      <c r="E54" s="172"/>
      <c r="F54" s="172"/>
      <c r="G54" s="172"/>
      <c r="H54" s="244"/>
      <c r="I54" s="172"/>
      <c r="J54" s="242"/>
      <c r="K54" s="242"/>
      <c r="L54" s="242"/>
      <c r="M54" s="242"/>
      <c r="N54" s="172"/>
    </row>
    <row r="55" spans="1:14" x14ac:dyDescent="0.2">
      <c r="A55" s="324" t="s">
        <v>209</v>
      </c>
      <c r="B55" s="325"/>
      <c r="C55" s="325"/>
      <c r="D55" s="326" t="s">
        <v>61</v>
      </c>
      <c r="E55" s="326">
        <f>+IF(ISERROR(E7/D7-1),0,E7/D7-1)</f>
        <v>0.11950078003120135</v>
      </c>
      <c r="F55" s="326">
        <f>+IF(ISERROR(F7/E7-1),0,F7/E7-1)</f>
        <v>0.35883500557413606</v>
      </c>
      <c r="G55" s="326"/>
      <c r="H55" s="326">
        <f>+IF(ISERROR(H7/F7-1),0,H7/F7-1)</f>
        <v>1.8869859501589481E-2</v>
      </c>
      <c r="I55" s="326">
        <f>+IF(ISERROR(I7/H7-1),0,I7/H7-1)</f>
        <v>0.41902365374937101</v>
      </c>
      <c r="J55" s="326">
        <f>+IF(ISERROR(J7/I7-1),0,J7/I7-1)</f>
        <v>0.35820683784934038</v>
      </c>
      <c r="K55" s="326">
        <f>+IF(ISERROR(K7/J7-1),0,K7/J7-1)</f>
        <v>0.32666597033632749</v>
      </c>
      <c r="L55" s="326">
        <f>+IF(ISERROR(L7/K7-1),0,L7/K7-1)</f>
        <v>0.23816597033632747</v>
      </c>
      <c r="M55" s="337">
        <f>+IF(ISERROR(M7/L7-1),0,M7/L7-1)</f>
        <v>0.14999999999999991</v>
      </c>
      <c r="N55" s="246"/>
    </row>
    <row r="56" spans="1:14" x14ac:dyDescent="0.2">
      <c r="A56" s="327" t="s">
        <v>210</v>
      </c>
      <c r="B56" s="328"/>
      <c r="C56" s="328"/>
      <c r="D56" s="329">
        <f>+IF(ISERROR(D11/D7),0,D11/D7)</f>
        <v>3.8845553822152885E-2</v>
      </c>
      <c r="E56" s="329">
        <f>+IF(ISERROR(E11/E7),0,E11/E7)</f>
        <v>4.5847268673355632E-2</v>
      </c>
      <c r="F56" s="329">
        <f>+IF(ISERROR(F11/F7),0,F11/F7)</f>
        <v>5.4968721156804429E-2</v>
      </c>
      <c r="G56" s="329"/>
      <c r="H56" s="329">
        <f>+IF(ISERROR(H11/H7),0,H11/H7)</f>
        <v>5.0427780573729243E-2</v>
      </c>
      <c r="I56" s="329">
        <f>+IF(ISERROR(I11/I7),0,I11/I7)</f>
        <v>4.206270392963541E-2</v>
      </c>
      <c r="J56" s="329">
        <f>+IF(ISERROR(J11/J7),0,J11/J7)</f>
        <v>3.9429705452266553E-2</v>
      </c>
      <c r="K56" s="329">
        <f>+IF(ISERROR(K11/K7),0,K11/K7)</f>
        <v>4.1294335314726607E-2</v>
      </c>
      <c r="L56" s="329">
        <f>+IF(ISERROR(L11/L7),0,L11/L7)</f>
        <v>4.9762432821031065E-2</v>
      </c>
      <c r="M56" s="331">
        <f>+IF(ISERROR(M11/M7),0,M11/M7)</f>
        <v>4.1419603229084855E-2</v>
      </c>
      <c r="N56" s="246"/>
    </row>
    <row r="57" spans="1:14" x14ac:dyDescent="0.2">
      <c r="A57" s="330" t="s">
        <v>211</v>
      </c>
      <c r="B57" s="328"/>
      <c r="C57" s="328"/>
      <c r="D57" s="329">
        <f>+IF(ISERROR(-D18/D7),0,-D18/D7)</f>
        <v>5.4446177847113884E-2</v>
      </c>
      <c r="E57" s="329">
        <f>+IF(ISERROR(-E18/E7),0,-E18/E7)</f>
        <v>5.5462653288740248E-2</v>
      </c>
      <c r="F57" s="329">
        <f>+IF(ISERROR(-F18/F7),0,-F18/F7)</f>
        <v>7.5069223669367247E-2</v>
      </c>
      <c r="G57" s="329"/>
      <c r="H57" s="329">
        <f>+IF(ISERROR(-H18/H7),0,-H18/H7)</f>
        <v>8.7770508303975842E-2</v>
      </c>
      <c r="I57" s="329">
        <f>+IF(ISERROR(-I18/I7),0,-I18/I7)</f>
        <v>0.1081713718257909</v>
      </c>
      <c r="J57" s="329">
        <f>+IF(ISERROR(-J18/J7),0,-J18/J7)</f>
        <v>8.8677668686024655E-2</v>
      </c>
      <c r="K57" s="329">
        <f>+IF(ISERROR(-K18/K7),0,-K18/K7)</f>
        <v>7.5345431641932054E-2</v>
      </c>
      <c r="L57" s="329">
        <f>+IF(ISERROR(-L18/L7),0,-L18/L7)</f>
        <v>6.8509175004709363E-2</v>
      </c>
      <c r="M57" s="331">
        <f>+IF(ISERROR(-M18/M7),0,-M18/M7)</f>
        <v>6.783288870690396E-2</v>
      </c>
      <c r="N57" s="247"/>
    </row>
    <row r="58" spans="1:14" x14ac:dyDescent="0.2">
      <c r="A58" s="330" t="s">
        <v>142</v>
      </c>
      <c r="B58" s="328"/>
      <c r="C58" s="328"/>
      <c r="D58" s="336">
        <v>0.25779999999999997</v>
      </c>
      <c r="E58" s="336">
        <v>0.22700000000000001</v>
      </c>
      <c r="F58" s="336">
        <f>'Data &amp; Forecasting '!I23</f>
        <v>0.28058169375534647</v>
      </c>
      <c r="G58" s="336"/>
      <c r="H58" s="336">
        <f>'Data &amp; Forecasting '!J23</f>
        <v>0.25174825174825177</v>
      </c>
      <c r="I58" s="329">
        <f>'Data &amp; Forecasting '!K23</f>
        <v>0.25109252077562322</v>
      </c>
      <c r="J58" s="329">
        <f>I58</f>
        <v>0.25109252077562322</v>
      </c>
      <c r="K58" s="329">
        <f>J58</f>
        <v>0.25109252077562322</v>
      </c>
      <c r="L58" s="329">
        <f>K58</f>
        <v>0.25109252077562322</v>
      </c>
      <c r="M58" s="331">
        <f>L58</f>
        <v>0.25109252077562322</v>
      </c>
      <c r="N58" s="247"/>
    </row>
    <row r="59" spans="1:14" x14ac:dyDescent="0.2">
      <c r="A59" s="332" t="s">
        <v>212</v>
      </c>
      <c r="B59" s="333"/>
      <c r="C59" s="333"/>
      <c r="D59" s="334" t="s">
        <v>61</v>
      </c>
      <c r="E59" s="335">
        <f t="shared" ref="E59:M59" si="7">E19/E7</f>
        <v>-1.6722408026755852E-2</v>
      </c>
      <c r="F59" s="335">
        <f t="shared" si="7"/>
        <v>1.8869859501589582E-2</v>
      </c>
      <c r="G59" s="335"/>
      <c r="H59" s="335">
        <f t="shared" si="7"/>
        <v>-3.8349270256668344E-2</v>
      </c>
      <c r="I59" s="335">
        <f t="shared" si="7"/>
        <v>-2.9529011207263443E-2</v>
      </c>
      <c r="J59" s="335">
        <f t="shared" si="7"/>
        <v>-2.9010862753290161E-2</v>
      </c>
      <c r="K59" s="335">
        <f t="shared" si="7"/>
        <v>-2.9547691217572728E-2</v>
      </c>
      <c r="L59" s="335">
        <f t="shared" si="7"/>
        <v>-2.5005998295456605E-2</v>
      </c>
      <c r="M59" s="338">
        <f t="shared" si="7"/>
        <v>-1.8260869565217393E-2</v>
      </c>
      <c r="N59" s="242"/>
    </row>
    <row r="60" spans="1:14" x14ac:dyDescent="0.2">
      <c r="A60" s="202"/>
      <c r="B60" s="224"/>
      <c r="C60" s="224"/>
      <c r="D60" s="221"/>
      <c r="E60" s="211"/>
      <c r="F60" s="211"/>
      <c r="G60" s="211"/>
      <c r="H60" s="202"/>
      <c r="I60" s="172"/>
      <c r="J60" s="242"/>
      <c r="K60" s="242"/>
      <c r="L60" s="242"/>
      <c r="M60" s="242"/>
      <c r="N60" s="242"/>
    </row>
  </sheetData>
  <mergeCells count="6">
    <mergeCell ref="I5:M5"/>
    <mergeCell ref="F28:I28"/>
    <mergeCell ref="A45:A49"/>
    <mergeCell ref="H45:H49"/>
    <mergeCell ref="I42:N42"/>
    <mergeCell ref="B42:G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D875-EBE5-9A45-9258-164A096C4B75}">
  <dimension ref="A1:AA42"/>
  <sheetViews>
    <sheetView showGridLines="0" zoomScale="113" workbookViewId="0">
      <selection activeCell="A4" sqref="A4"/>
    </sheetView>
  </sheetViews>
  <sheetFormatPr baseColWidth="10" defaultRowHeight="16" x14ac:dyDescent="0.2"/>
  <cols>
    <col min="1" max="1" width="31" customWidth="1"/>
    <col min="3" max="4" width="18.33203125" bestFit="1" customWidth="1"/>
    <col min="6" max="7" width="17.33203125" bestFit="1" customWidth="1"/>
    <col min="8" max="9" width="16.33203125" bestFit="1" customWidth="1"/>
  </cols>
  <sheetData>
    <row r="1" spans="1:20" ht="25" x14ac:dyDescent="0.25">
      <c r="A1" s="1" t="s">
        <v>24</v>
      </c>
      <c r="B1" s="2"/>
      <c r="C1" s="3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8" x14ac:dyDescent="0.2">
      <c r="A2" s="4" t="s">
        <v>25</v>
      </c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">
      <c r="A3" s="5"/>
      <c r="B3" s="2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 s="6"/>
      <c r="B4" s="6"/>
      <c r="C4" s="7"/>
      <c r="D4" s="7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x14ac:dyDescent="0.2">
      <c r="A6" s="9"/>
      <c r="B6" s="9"/>
      <c r="C6" s="10" t="s">
        <v>0</v>
      </c>
      <c r="D6" s="10"/>
      <c r="E6" s="11"/>
      <c r="F6" s="10" t="s">
        <v>1</v>
      </c>
      <c r="G6" s="10"/>
      <c r="H6" s="10"/>
      <c r="I6" s="10"/>
      <c r="J6" s="9"/>
      <c r="K6" s="133" t="s">
        <v>2</v>
      </c>
      <c r="L6" s="133"/>
      <c r="M6" s="133"/>
      <c r="N6" s="9"/>
      <c r="O6" s="10" t="s">
        <v>3</v>
      </c>
      <c r="P6" s="10"/>
      <c r="Q6" s="10"/>
      <c r="R6" s="10"/>
      <c r="S6" s="10"/>
      <c r="T6" s="10"/>
    </row>
    <row r="7" spans="1:20" x14ac:dyDescent="0.2">
      <c r="A7" s="12"/>
      <c r="B7" s="12"/>
      <c r="C7" s="12"/>
      <c r="D7" s="12"/>
      <c r="E7" s="38"/>
      <c r="F7" s="12"/>
      <c r="G7" s="12"/>
      <c r="H7" s="12"/>
      <c r="I7" s="12"/>
      <c r="J7" s="12"/>
      <c r="K7" s="12"/>
      <c r="L7" s="12"/>
      <c r="M7" s="11" t="s">
        <v>4</v>
      </c>
      <c r="N7" s="11"/>
      <c r="O7" s="13" t="s">
        <v>5</v>
      </c>
      <c r="P7" s="13"/>
      <c r="Q7" s="13" t="s">
        <v>6</v>
      </c>
      <c r="R7" s="13"/>
      <c r="S7" s="13" t="s">
        <v>7</v>
      </c>
      <c r="T7" s="13"/>
    </row>
    <row r="8" spans="1:20" x14ac:dyDescent="0.2">
      <c r="A8" s="12"/>
      <c r="B8" s="12"/>
      <c r="C8" s="11" t="s">
        <v>8</v>
      </c>
      <c r="D8" s="11" t="s">
        <v>9</v>
      </c>
      <c r="E8" s="11"/>
      <c r="F8" s="11"/>
      <c r="G8" s="11"/>
      <c r="H8" s="11"/>
      <c r="I8" s="11" t="s">
        <v>4</v>
      </c>
      <c r="J8" s="11"/>
      <c r="K8" s="11" t="s">
        <v>6</v>
      </c>
      <c r="L8" s="11" t="s">
        <v>10</v>
      </c>
      <c r="M8" s="11" t="s">
        <v>11</v>
      </c>
      <c r="N8" s="11"/>
      <c r="O8" s="14" t="s">
        <v>12</v>
      </c>
      <c r="P8" s="14" t="s">
        <v>13</v>
      </c>
      <c r="Q8" s="14" t="s">
        <v>12</v>
      </c>
      <c r="R8" s="14" t="s">
        <v>13</v>
      </c>
      <c r="S8" s="14" t="s">
        <v>12</v>
      </c>
      <c r="T8" s="14" t="s">
        <v>13</v>
      </c>
    </row>
    <row r="9" spans="1:20" x14ac:dyDescent="0.2">
      <c r="A9" s="15" t="s">
        <v>14</v>
      </c>
      <c r="B9" s="16" t="s">
        <v>118</v>
      </c>
      <c r="C9" s="17" t="s">
        <v>16</v>
      </c>
      <c r="D9" s="17" t="s">
        <v>16</v>
      </c>
      <c r="E9" s="11"/>
      <c r="F9" s="17" t="s">
        <v>5</v>
      </c>
      <c r="G9" s="17" t="s">
        <v>6</v>
      </c>
      <c r="H9" s="17" t="s">
        <v>10</v>
      </c>
      <c r="I9" s="17" t="s">
        <v>11</v>
      </c>
      <c r="J9" s="11"/>
      <c r="K9" s="17" t="s">
        <v>17</v>
      </c>
      <c r="L9" s="17" t="s">
        <v>17</v>
      </c>
      <c r="M9" s="17" t="s">
        <v>17</v>
      </c>
      <c r="N9" s="11"/>
      <c r="O9" s="17" t="s">
        <v>18</v>
      </c>
      <c r="P9" s="17" t="s">
        <v>18</v>
      </c>
      <c r="Q9" s="17" t="s">
        <v>18</v>
      </c>
      <c r="R9" s="17" t="s">
        <v>18</v>
      </c>
      <c r="S9" s="16" t="s">
        <v>18</v>
      </c>
      <c r="T9" s="16" t="s">
        <v>18</v>
      </c>
    </row>
    <row r="10" spans="1:20" x14ac:dyDescent="0.2">
      <c r="A10" s="9"/>
      <c r="B10" s="9"/>
      <c r="C10" s="18"/>
      <c r="D10" s="18"/>
      <c r="E10" s="1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16" customHeight="1" x14ac:dyDescent="0.2">
      <c r="A11" s="19" t="s">
        <v>24</v>
      </c>
      <c r="B11" s="19" t="s">
        <v>119</v>
      </c>
      <c r="C11" s="129">
        <f>'Data &amp; Forecasting '!D26*1000000</f>
        <v>70635250000</v>
      </c>
      <c r="D11" s="129">
        <f>'Data &amp; Forecasting '!D31*1000000</f>
        <v>71004250000</v>
      </c>
      <c r="E11" s="129"/>
      <c r="F11" s="129">
        <f>'Data &amp; Forecasting '!J11*1000000</f>
        <v>9935000000</v>
      </c>
      <c r="G11" s="129">
        <f>'Data &amp; Forecasting '!J29*1000000</f>
        <v>2185000000</v>
      </c>
      <c r="H11" s="129">
        <f>'Data &amp; Forecasting '!J16*1000000</f>
        <v>1685000000</v>
      </c>
      <c r="I11" s="129">
        <f>'Data &amp; Forecasting '!J22*1000000</f>
        <v>1028000000</v>
      </c>
      <c r="J11" s="20"/>
      <c r="K11" s="21">
        <f>G11/F11</f>
        <v>0.21992954202315049</v>
      </c>
      <c r="L11" s="21">
        <f>H11/F11</f>
        <v>0.16960241570206341</v>
      </c>
      <c r="M11" s="21">
        <f>I11/F11</f>
        <v>0.10347257171615501</v>
      </c>
      <c r="N11" s="21"/>
      <c r="O11" s="21">
        <f>('Data &amp; Forecasting '!J11-'Data &amp; Forecasting '!I11)/'Data &amp; Forecasting '!I11</f>
        <v>0.28775113415424497</v>
      </c>
      <c r="P11" s="21">
        <f>('Data &amp; Forecasting '!K11-'Data &amp; Forecasting '!J11)/'Data &amp; Forecasting '!J11</f>
        <v>0.41902365374937089</v>
      </c>
      <c r="Q11" s="21">
        <f>('Data &amp; Forecasting '!J29-'Data &amp; Forecasting '!I29)/'Data &amp; Forecasting '!I29</f>
        <v>0.16161616161616163</v>
      </c>
      <c r="R11" s="21">
        <f>('Data &amp; Forecasting '!K29-'Data &amp; Forecasting '!J29)/'Data &amp; Forecasting '!J29</f>
        <v>0.47368421052631576</v>
      </c>
      <c r="S11" s="21">
        <f>('Data &amp; Forecasting '!J26-'Data &amp; Forecasting '!I26)/'Data &amp; Forecasting '!I26</f>
        <v>0.43175487465181067</v>
      </c>
      <c r="T11" s="21">
        <f>('Data &amp; Forecasting '!K26-'Data &amp; Forecasting '!J26)/'Data &amp; Forecasting '!J26</f>
        <v>0.60870282101167328</v>
      </c>
    </row>
    <row r="12" spans="1:20" x14ac:dyDescent="0.2">
      <c r="A12" s="22"/>
      <c r="B12" s="22"/>
      <c r="C12" s="23"/>
      <c r="D12" s="23"/>
      <c r="E12" s="23"/>
      <c r="F12" s="23"/>
      <c r="G12" s="23"/>
      <c r="H12" s="23"/>
      <c r="I12" s="23"/>
      <c r="J12" s="24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0" x14ac:dyDescent="0.2">
      <c r="A13" s="26" t="s">
        <v>98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 spans="1:20" x14ac:dyDescent="0.2">
      <c r="A14" s="22" t="s">
        <v>120</v>
      </c>
      <c r="B14" s="22" t="s">
        <v>126</v>
      </c>
      <c r="C14" s="130">
        <f>'Data &amp; Forecasting '!E36*1000000</f>
        <v>49877400000</v>
      </c>
      <c r="D14" s="130">
        <f>C14+'Data &amp; Forecasting '!T36*1000000</f>
        <v>54811400000</v>
      </c>
      <c r="E14" s="130"/>
      <c r="F14" s="130">
        <f>'Data &amp; Forecasting '!H36*1000000</f>
        <v>30662000000</v>
      </c>
      <c r="G14" s="130">
        <f>'Data &amp; Forecasting '!K36*1000000</f>
        <v>4495000000</v>
      </c>
      <c r="H14" s="130">
        <f>'Data &amp; Forecasting '!N36*1000000</f>
        <v>3322000000</v>
      </c>
      <c r="I14" s="130">
        <f>'Data &amp; Forecasting '!Q36*1000000</f>
        <v>2062000000</v>
      </c>
      <c r="J14" s="131"/>
      <c r="K14" s="27">
        <f>G14/F14</f>
        <v>0.14659839540799688</v>
      </c>
      <c r="L14" s="27">
        <f>H14/F14</f>
        <v>0.10834257386993673</v>
      </c>
      <c r="M14" s="27">
        <f>I14/F14</f>
        <v>6.7249364033657291E-2</v>
      </c>
      <c r="N14" s="27"/>
      <c r="O14" s="27">
        <f>('Data &amp; Forecasting '!H36-'Data &amp; Forecasting '!G36)/'Data &amp; Forecasting '!G36</f>
        <v>8.2124580907005473E-2</v>
      </c>
      <c r="P14" s="27">
        <f>('Data &amp; Forecasting '!I36-'Data &amp; Forecasting '!H36)/'Data &amp; Forecasting '!H36</f>
        <v>8.1305850890352874E-2</v>
      </c>
      <c r="Q14" s="27">
        <f>('Data &amp; Forecasting '!K36-'Data &amp; Forecasting '!J36)/'Data &amp; Forecasting '!J36</f>
        <v>9.3142023346303504E-2</v>
      </c>
      <c r="R14" s="27">
        <f>('Data &amp; Forecasting '!L36-'Data &amp; Forecasting '!K36)/'Data &amp; Forecasting '!K36</f>
        <v>3.2925472747497221E-2</v>
      </c>
      <c r="S14" s="27">
        <f>('Data &amp; Forecasting '!V36-'Data &amp; Forecasting '!U36)/'Data &amp; Forecasting '!U36</f>
        <v>5.4192229038854775E-2</v>
      </c>
      <c r="T14" s="27">
        <f>('Data &amp; Forecasting '!W36-'Data &amp; Forecasting '!V36)/'Data &amp; Forecasting '!V36</f>
        <v>0.12269641125121229</v>
      </c>
    </row>
    <row r="15" spans="1:20" x14ac:dyDescent="0.2">
      <c r="A15" s="22" t="s">
        <v>121</v>
      </c>
      <c r="B15" s="22" t="s">
        <v>119</v>
      </c>
      <c r="C15" s="132">
        <f>'Data &amp; Forecasting '!E37*1000000</f>
        <v>47229185400</v>
      </c>
      <c r="D15" s="132">
        <f>C15+'Data &amp; Forecasting '!T37*1000000</f>
        <v>48867685400</v>
      </c>
      <c r="E15" s="132"/>
      <c r="F15" s="132">
        <f>'Data &amp; Forecasting '!H37*1000000</f>
        <v>22136000000</v>
      </c>
      <c r="G15" s="132">
        <f>'Data &amp; Forecasting '!K37*1000000</f>
        <v>3827000000</v>
      </c>
      <c r="H15" s="132">
        <f>'Data &amp; Forecasting '!N37*1000000</f>
        <v>2740000000</v>
      </c>
      <c r="I15" s="132">
        <f>'Data &amp; Forecasting '!Q37*1000000</f>
        <v>1675000000</v>
      </c>
      <c r="J15" s="131"/>
      <c r="K15" s="27">
        <f>G15/F15</f>
        <v>0.17288579689194072</v>
      </c>
      <c r="L15" s="27">
        <f>H15/F15</f>
        <v>0.12378026743765812</v>
      </c>
      <c r="M15" s="27">
        <f>I15/F15</f>
        <v>7.5668594145283707E-2</v>
      </c>
      <c r="N15" s="27"/>
      <c r="O15" s="27">
        <f>('Data &amp; Forecasting '!H37-'Data &amp; Forecasting '!G37)/'Data &amp; Forecasting '!G37</f>
        <v>7.5764202750643925E-2</v>
      </c>
      <c r="P15" s="27">
        <f>('Data &amp; Forecasting '!I37-'Data &amp; Forecasting '!H37)/'Data &amp; Forecasting '!H37</f>
        <v>7.5126490784242869E-2</v>
      </c>
      <c r="Q15" s="27">
        <f>('Data &amp; Forecasting '!K37-'Data &amp; Forecasting '!J37)/'Data &amp; Forecasting '!J37</f>
        <v>0.32056590752242925</v>
      </c>
      <c r="R15" s="27">
        <f>('Data &amp; Forecasting '!L37-'Data &amp; Forecasting '!K37)/'Data &amp; Forecasting '!K37</f>
        <v>-2.2733211392735823E-2</v>
      </c>
      <c r="S15" s="27">
        <f>('Data &amp; Forecasting '!V37-'Data &amp; Forecasting '!U37)/'Data &amp; Forecasting '!U37</f>
        <v>0.17957746478873246</v>
      </c>
      <c r="T15" s="27">
        <f>('Data &amp; Forecasting '!W37-'Data &amp; Forecasting '!V37)/'Data &amp; Forecasting '!V37</f>
        <v>0.10567164179104463</v>
      </c>
    </row>
    <row r="16" spans="1:20" x14ac:dyDescent="0.2">
      <c r="A16" s="22" t="s">
        <v>114</v>
      </c>
      <c r="B16" s="22" t="s">
        <v>119</v>
      </c>
      <c r="C16" s="132">
        <f>'Data &amp; Forecasting '!E38*1000000</f>
        <v>28313210400</v>
      </c>
      <c r="D16" s="132">
        <f>'Benchmarking Analysis'!C16+'Data &amp; Forecasting '!T38*1000000</f>
        <v>28956210400</v>
      </c>
      <c r="E16" s="132"/>
      <c r="F16" s="132">
        <f>'Data &amp; Forecasting '!H38*1000000</f>
        <v>19503000000</v>
      </c>
      <c r="G16" s="132">
        <f>'Data &amp; Forecasting '!K38*1000000</f>
        <v>2429000000</v>
      </c>
      <c r="H16" s="132">
        <f>'Data &amp; Forecasting '!N38*1000000</f>
        <v>1752000000</v>
      </c>
      <c r="I16" s="132">
        <f>'Data &amp; Forecasting '!Q38*1000000</f>
        <v>1224000000</v>
      </c>
      <c r="J16" s="131"/>
      <c r="K16" s="27">
        <f>G16/F16</f>
        <v>0.12454494180382505</v>
      </c>
      <c r="L16" s="27">
        <f>H16/F16</f>
        <v>8.9832333487155816E-2</v>
      </c>
      <c r="M16" s="27">
        <f>I16/F16</f>
        <v>6.2759575449930785E-2</v>
      </c>
      <c r="N16" s="27"/>
      <c r="O16" s="27">
        <f>('Data &amp; Forecasting '!H38-'Data &amp; Forecasting '!G38)/'Data &amp; Forecasting '!G38</f>
        <v>9.7956426279344699E-2</v>
      </c>
      <c r="P16" s="27">
        <f>('Data &amp; Forecasting '!I38-'Data &amp; Forecasting '!H38)/'Data &amp; Forecasting '!H38</f>
        <v>8.9986155976003693E-2</v>
      </c>
      <c r="Q16" s="27">
        <f>('Data &amp; Forecasting '!K38-'Data &amp; Forecasting '!J38)/'Data &amp; Forecasting '!J38</f>
        <v>9.4637223974763401E-2</v>
      </c>
      <c r="R16" s="27">
        <f>('Data &amp; Forecasting '!L38-'Data &amp; Forecasting '!K38)/'Data &amp; Forecasting '!K38</f>
        <v>0.13297653355290243</v>
      </c>
      <c r="S16" s="27">
        <f>('Data &amp; Forecasting '!V38-'Data &amp; Forecasting '!U38)/'Data &amp; Forecasting '!U38</f>
        <v>0.1396648044692736</v>
      </c>
      <c r="T16" s="27">
        <f>('Data &amp; Forecasting '!W38-'Data &amp; Forecasting '!V38)/'Data &amp; Forecasting '!V38</f>
        <v>2.8594771241830061E-2</v>
      </c>
    </row>
    <row r="17" spans="1:27" x14ac:dyDescent="0.2">
      <c r="A17" s="22" t="s">
        <v>122</v>
      </c>
      <c r="B17" s="22" t="s">
        <v>124</v>
      </c>
      <c r="C17" s="132">
        <f>'Data &amp; Forecasting '!E39*1000000</f>
        <v>284831232000</v>
      </c>
      <c r="D17" s="132">
        <f>C17+'Data &amp; Forecasting '!T39*1000000</f>
        <v>290901232000</v>
      </c>
      <c r="E17" s="132"/>
      <c r="F17" s="132">
        <f>'Data &amp; Forecasting '!H39*1000000</f>
        <v>79146000000</v>
      </c>
      <c r="G17" s="132">
        <f>'Data &amp; Forecasting '!K39*1000000</f>
        <v>11347000000</v>
      </c>
      <c r="H17" s="132">
        <f>'Data &amp; Forecasting '!N39*1000000</f>
        <v>8066000000</v>
      </c>
      <c r="I17" s="132">
        <f>'Data &amp; Forecasting '!Q39*1000000</f>
        <v>6314000000</v>
      </c>
      <c r="J17" s="131"/>
      <c r="K17" s="27">
        <f>G17/F17</f>
        <v>0.14336795289717738</v>
      </c>
      <c r="L17" s="27">
        <f>H17/F17</f>
        <v>0.10191292042554267</v>
      </c>
      <c r="M17" s="27">
        <f>I17/F17</f>
        <v>7.977661536906476E-2</v>
      </c>
      <c r="N17" s="27"/>
      <c r="O17" s="27">
        <f>('Data &amp; Forecasting '!H39-'Data &amp; Forecasting '!G39)/'Data &amp; Forecasting '!G39</f>
        <v>0.24148640805634422</v>
      </c>
      <c r="P17" s="27">
        <f>('Data &amp; Forecasting '!I39-'Data &amp; Forecasting '!H39)/'Data &amp; Forecasting '!H39</f>
        <v>0.20876607788138377</v>
      </c>
      <c r="Q17" s="27">
        <f>('Data &amp; Forecasting '!K39-'Data &amp; Forecasting '!J39)/'Data &amp; Forecasting '!J39</f>
        <v>0.35051178290883123</v>
      </c>
      <c r="R17" s="27">
        <f>('Data &amp; Forecasting '!L39-'Data &amp; Forecasting '!K39)/'Data &amp; Forecasting '!K39</f>
        <v>0.2034899092271085</v>
      </c>
      <c r="S17" s="27">
        <f>('Data &amp; Forecasting '!V39-'Data &amp; Forecasting '!U39)/'Data &amp; Forecasting '!U39</f>
        <v>0.51378566291057293</v>
      </c>
      <c r="T17" s="27">
        <f>('Data &amp; Forecasting '!W39-'Data &amp; Forecasting '!V39)/'Data &amp; Forecasting '!V39</f>
        <v>0.21777003484320562</v>
      </c>
    </row>
    <row r="18" spans="1:27" x14ac:dyDescent="0.2">
      <c r="A18" s="22" t="s">
        <v>123</v>
      </c>
      <c r="B18" s="22" t="s">
        <v>125</v>
      </c>
      <c r="C18" s="132">
        <f>'Data &amp; Forecasting '!E40*1000000</f>
        <v>227454216000</v>
      </c>
      <c r="D18" s="132">
        <f>C18+'Data &amp; Forecasting '!T40*1000000</f>
        <v>216522216000</v>
      </c>
      <c r="E18" s="132"/>
      <c r="F18" s="132">
        <f>'Data &amp; Forecasting '!H40*1000000</f>
        <v>58599000000</v>
      </c>
      <c r="G18" s="132">
        <f>'Data &amp; Forecasting '!K40*1000000</f>
        <v>11024000000</v>
      </c>
      <c r="H18" s="132">
        <f>'Data &amp; Forecasting '!N40*1000000</f>
        <v>9296000000</v>
      </c>
      <c r="I18" s="132">
        <f>'Data &amp; Forecasting '!Q40*1000000</f>
        <v>7953000000</v>
      </c>
      <c r="J18" s="131"/>
      <c r="K18" s="27">
        <f>G18/F18</f>
        <v>0.18812607723681291</v>
      </c>
      <c r="L18" s="27">
        <f>H18/F18</f>
        <v>0.15863751941159404</v>
      </c>
      <c r="M18" s="27">
        <f>I18/F18</f>
        <v>0.13571903957405415</v>
      </c>
      <c r="N18" s="27"/>
      <c r="O18" s="27">
        <f>('Data &amp; Forecasting '!H40-'Data &amp; Forecasting '!G40)/'Data &amp; Forecasting '!G40</f>
        <v>0.19903011949582583</v>
      </c>
      <c r="P18" s="27">
        <f>('Data &amp; Forecasting '!I40-'Data &amp; Forecasting '!H40)/'Data &amp; Forecasting '!H40</f>
        <v>0.18926944145804536</v>
      </c>
      <c r="Q18" s="27">
        <f>('Data &amp; Forecasting '!K40-'Data &amp; Forecasting '!J40)/'Data &amp; Forecasting '!J40</f>
        <v>0.37319382162431491</v>
      </c>
      <c r="R18" s="27">
        <f>('Data &amp; Forecasting '!L40-'Data &amp; Forecasting '!K40)/'Data &amp; Forecasting '!K40</f>
        <v>0.1446843251088534</v>
      </c>
      <c r="S18" s="27">
        <f>('Data &amp; Forecasting '!V40-'Data &amp; Forecasting '!U40)/'Data &amp; Forecasting '!U40</f>
        <v>0.55150214592274682</v>
      </c>
      <c r="T18" s="27">
        <f>('Data &amp; Forecasting '!W40-'Data &amp; Forecasting '!V40)/'Data &amp; Forecasting '!V40</f>
        <v>0.13215138941280022</v>
      </c>
    </row>
    <row r="19" spans="1:27" x14ac:dyDescent="0.2">
      <c r="A19" s="22"/>
      <c r="B19" s="22"/>
      <c r="C19" s="23"/>
      <c r="D19" s="23"/>
      <c r="E19" s="23"/>
      <c r="F19" s="23"/>
      <c r="G19" s="23"/>
      <c r="H19" s="23"/>
      <c r="I19" s="23"/>
      <c r="J19" s="24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 spans="1:27" x14ac:dyDescent="0.2">
      <c r="A20" s="28" t="s">
        <v>19</v>
      </c>
      <c r="B20" s="29"/>
      <c r="C20" s="30"/>
      <c r="D20" s="31"/>
      <c r="E20" s="29"/>
      <c r="F20" s="29"/>
      <c r="G20" s="31"/>
      <c r="H20" s="31"/>
      <c r="I20" s="31"/>
      <c r="J20" s="31"/>
      <c r="K20" s="32">
        <f>IF(ISERROR(AVERAGE(K14:K18)),"NA",AVERAGE(K14:K18))</f>
        <v>0.15510463284755058</v>
      </c>
      <c r="L20" s="32">
        <f>IF(ISERROR(AVERAGE(L14:L18)),"NA",AVERAGE(L14:L18))</f>
        <v>0.11650112292637749</v>
      </c>
      <c r="M20" s="32">
        <f>IF(ISERROR(AVERAGE(M14:M18)),"NA",AVERAGE(M14:M18))</f>
        <v>8.4234637714398139E-2</v>
      </c>
      <c r="N20" s="32"/>
      <c r="O20" s="32">
        <f t="shared" ref="O20:T20" si="0">+AVERAGE(O14:O18)</f>
        <v>0.13927234749783285</v>
      </c>
      <c r="P20" s="32">
        <f t="shared" si="0"/>
        <v>0.12889080339800571</v>
      </c>
      <c r="Q20" s="32">
        <f t="shared" si="0"/>
        <v>0.24641015187532847</v>
      </c>
      <c r="R20" s="32">
        <f t="shared" si="0"/>
        <v>9.8268605848725141E-2</v>
      </c>
      <c r="S20" s="32">
        <f t="shared" si="0"/>
        <v>0.28774446142603616</v>
      </c>
      <c r="T20" s="32">
        <f t="shared" si="0"/>
        <v>0.12137684970801857</v>
      </c>
    </row>
    <row r="21" spans="1:27" x14ac:dyDescent="0.2">
      <c r="A21" s="28" t="s">
        <v>20</v>
      </c>
      <c r="B21" s="29"/>
      <c r="C21" s="30"/>
      <c r="D21" s="31"/>
      <c r="E21" s="29"/>
      <c r="F21" s="29"/>
      <c r="G21" s="31"/>
      <c r="H21" s="31"/>
      <c r="I21" s="31"/>
      <c r="J21" s="31"/>
      <c r="K21" s="32">
        <f>IF(ISERROR(MEDIAN(K14:K18)),"NA",MEDIAN(K14:K18))</f>
        <v>0.14659839540799688</v>
      </c>
      <c r="L21" s="32">
        <f>IF(ISERROR(MEDIAN(L14:L18)),"NA",MEDIAN(L14:L18))</f>
        <v>0.10834257386993673</v>
      </c>
      <c r="M21" s="32">
        <f>IF(ISERROR(MEDIAN(M14:M18)),"NA",MEDIAN(M14:M18))</f>
        <v>7.5668594145283707E-2</v>
      </c>
      <c r="N21" s="32"/>
      <c r="O21" s="32">
        <f t="shared" ref="O21:T21" si="1">MEDIAN(O14:O18)</f>
        <v>9.7956426279344699E-2</v>
      </c>
      <c r="P21" s="32">
        <f t="shared" si="1"/>
        <v>8.9986155976003693E-2</v>
      </c>
      <c r="Q21" s="32">
        <f t="shared" si="1"/>
        <v>0.32056590752242925</v>
      </c>
      <c r="R21" s="32">
        <f t="shared" si="1"/>
        <v>0.13297653355290243</v>
      </c>
      <c r="S21" s="32">
        <f t="shared" si="1"/>
        <v>0.17957746478873246</v>
      </c>
      <c r="T21" s="32">
        <f t="shared" si="1"/>
        <v>0.12269641125121229</v>
      </c>
    </row>
    <row r="22" spans="1:27" x14ac:dyDescent="0.2">
      <c r="A22" s="33"/>
      <c r="B22" s="34"/>
      <c r="C22" s="19"/>
      <c r="D22" s="35"/>
      <c r="E22" s="34"/>
      <c r="F22" s="34"/>
      <c r="G22" s="35"/>
      <c r="H22" s="35"/>
      <c r="I22" s="35"/>
      <c r="J22" s="35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spans="1:27" x14ac:dyDescent="0.2">
      <c r="A23" s="26" t="s">
        <v>144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</row>
    <row r="24" spans="1:27" x14ac:dyDescent="0.2">
      <c r="A24" s="22" t="s">
        <v>153</v>
      </c>
      <c r="B24" s="22" t="s">
        <v>152</v>
      </c>
      <c r="C24" s="130">
        <f>'Data &amp; Forecasting '!E43*1000000</f>
        <v>113848662950</v>
      </c>
      <c r="D24" s="130">
        <f>'Data &amp; Forecasting '!F43*1000000</f>
        <v>131427662950</v>
      </c>
      <c r="E24" s="130"/>
      <c r="F24" s="130">
        <f>'Data &amp; Forecasting '!H43*1000000</f>
        <v>75048000000</v>
      </c>
      <c r="G24" s="130">
        <f>'Data &amp; Forecasting '!K43*1000000</f>
        <v>9418000000</v>
      </c>
      <c r="H24" s="130">
        <f>'Data &amp; Forecasting '!N43*1000000</f>
        <v>7731000000</v>
      </c>
      <c r="I24" s="130">
        <f>'Data &amp; Forecasting '!Q43*1000000</f>
        <v>5017000000</v>
      </c>
      <c r="J24" s="24"/>
      <c r="K24" s="27">
        <f>G24/F24</f>
        <v>0.12549301780194008</v>
      </c>
      <c r="L24" s="27">
        <f>H24/F24</f>
        <v>0.10301407099456347</v>
      </c>
      <c r="M24" s="27">
        <f>I24/F24</f>
        <v>6.6850548981984864E-2</v>
      </c>
      <c r="N24" s="27"/>
      <c r="O24" s="27">
        <f>('Data &amp; Forecasting '!H43-'Data &amp; Forecasting '!G43)/'Data &amp; Forecasting '!G43</f>
        <v>5.6374308517376799E-2</v>
      </c>
      <c r="P24" s="27">
        <f>('Data &amp; Forecasting '!I43-'Data &amp; Forecasting '!H43)/'Data &amp; Forecasting '!H43</f>
        <v>5.3725615606012155E-2</v>
      </c>
      <c r="Q24" s="27">
        <f>('Data &amp; Forecasting '!K43-'Data &amp; Forecasting '!J43)/'Data &amp; Forecasting '!J43</f>
        <v>9.8693420438637422E-2</v>
      </c>
      <c r="R24" s="27">
        <f>('Data &amp; Forecasting '!L43-'Data &amp; Forecasting '!K43)/'Data &amp; Forecasting '!K43</f>
        <v>0.1967509025270758</v>
      </c>
      <c r="S24" s="27">
        <f>('Data &amp; Forecasting '!V43-'Data &amp; Forecasting '!U43)/'Data &amp; Forecasting '!U43</f>
        <v>-5.9782608695652162E-2</v>
      </c>
      <c r="T24" s="27">
        <f>('Data &amp; Forecasting '!W43-'Data &amp; Forecasting '!V43)/'Data &amp; Forecasting '!V43</f>
        <v>0.37691847717759602</v>
      </c>
    </row>
    <row r="25" spans="1:27" x14ac:dyDescent="0.2">
      <c r="A25" s="22" t="s">
        <v>154</v>
      </c>
      <c r="B25" s="22" t="s">
        <v>152</v>
      </c>
      <c r="C25" s="130">
        <f>'Data &amp; Forecasting '!E44*1000000</f>
        <v>81597051000</v>
      </c>
      <c r="D25" s="130">
        <f>'Data &amp; Forecasting '!F44*1000000</f>
        <v>92356051000</v>
      </c>
      <c r="E25" s="132"/>
      <c r="F25" s="130">
        <f>'Data &amp; Forecasting '!H44*1000000</f>
        <v>41954000000</v>
      </c>
      <c r="G25" s="130">
        <f>'Data &amp; Forecasting '!K44*1000000</f>
        <v>5983000000</v>
      </c>
      <c r="H25" s="130">
        <f>'Data &amp; Forecasting '!N44*1000000</f>
        <v>4511000000</v>
      </c>
      <c r="I25" s="130">
        <f>'Data &amp; Forecasting '!Q44*1000000</f>
        <v>4182000000</v>
      </c>
      <c r="J25" s="24"/>
      <c r="K25" s="27">
        <f>G25/F25</f>
        <v>0.14260857129236784</v>
      </c>
      <c r="L25" s="27">
        <f>H25/F25</f>
        <v>0.10752252466987654</v>
      </c>
      <c r="M25" s="27">
        <f>I25/F25</f>
        <v>9.9680602564713727E-2</v>
      </c>
      <c r="N25" s="27"/>
      <c r="O25" s="27">
        <f>('Data &amp; Forecasting '!H44-'Data &amp; Forecasting '!G44)/'Data &amp; Forecasting '!G44</f>
        <v>2.2445348865547242E-2</v>
      </c>
      <c r="P25" s="27">
        <f>('Data &amp; Forecasting '!I44-'Data &amp; Forecasting '!H44)/'Data &amp; Forecasting '!H44</f>
        <v>4.5669066120036232E-2</v>
      </c>
      <c r="Q25" s="27">
        <f>('Data &amp; Forecasting '!K44-'Data &amp; Forecasting '!J44)/'Data &amp; Forecasting '!J44</f>
        <v>4.2334494773519166E-2</v>
      </c>
      <c r="R25" s="27">
        <f>('Data &amp; Forecasting '!L44-'Data &amp; Forecasting '!K44)/'Data &amp; Forecasting '!K44</f>
        <v>3.3260905900050139E-2</v>
      </c>
      <c r="S25" s="27">
        <f>('Data &amp; Forecasting '!V44-'Data &amp; Forecasting '!U44)/'Data &amp; Forecasting '!U44</f>
        <v>1.9166267369429932E-3</v>
      </c>
      <c r="T25" s="27">
        <f>('Data &amp; Forecasting '!W44-'Data &amp; Forecasting '!V44)/'Data &amp; Forecasting '!V44</f>
        <v>-4.8302247728359657E-2</v>
      </c>
    </row>
    <row r="26" spans="1:27" x14ac:dyDescent="0.2">
      <c r="A26" s="22" t="s">
        <v>155</v>
      </c>
      <c r="B26" s="22" t="s">
        <v>152</v>
      </c>
      <c r="C26" s="130">
        <f>'Data &amp; Forecasting '!E45*1000000</f>
        <v>92220600480.000015</v>
      </c>
      <c r="D26" s="130">
        <f>'Data &amp; Forecasting '!F45*1000000</f>
        <v>97900600480.000015</v>
      </c>
      <c r="E26" s="132"/>
      <c r="F26" s="130">
        <f>'Data &amp; Forecasting '!H45*1000000</f>
        <v>52550000000</v>
      </c>
      <c r="G26" s="130">
        <f>'Data &amp; Forecasting '!K45*1000000</f>
        <v>6280000000</v>
      </c>
      <c r="H26" s="130">
        <f>'Data &amp; Forecasting '!N45*1000000</f>
        <v>5356000000</v>
      </c>
      <c r="I26" s="130">
        <f>'Data &amp; Forecasting '!Q45*1000000</f>
        <v>4210000000</v>
      </c>
      <c r="J26" s="24"/>
      <c r="K26" s="27">
        <f>G26/F26</f>
        <v>0.11950523311132255</v>
      </c>
      <c r="L26" s="27">
        <f>H26/F26</f>
        <v>0.10192197906755471</v>
      </c>
      <c r="M26" s="27">
        <f>I26/F26</f>
        <v>8.0114176974310183E-2</v>
      </c>
      <c r="N26" s="27"/>
      <c r="O26" s="27">
        <f>('Data &amp; Forecasting '!H45-'Data &amp; Forecasting '!G45)/'Data &amp; Forecasting '!G45</f>
        <v>0.10130773744655881</v>
      </c>
      <c r="P26" s="27">
        <f>('Data &amp; Forecasting '!I45-'Data &amp; Forecasting '!H45)/'Data &amp; Forecasting '!H45</f>
        <v>4.1598477640342531E-2</v>
      </c>
      <c r="Q26" s="27">
        <f>('Data &amp; Forecasting '!K45-'Data &amp; Forecasting '!J45)/'Data &amp; Forecasting '!J45</f>
        <v>0.10524463217177051</v>
      </c>
      <c r="R26" s="27">
        <f>('Data &amp; Forecasting '!L45-'Data &amp; Forecasting '!K45)/'Data &amp; Forecasting '!K45</f>
        <v>5.5891719745222931E-2</v>
      </c>
      <c r="S26" s="27">
        <f>('Data &amp; Forecasting '!V45-'Data &amp; Forecasting '!U45)/'Data &amp; Forecasting '!U45</f>
        <v>0.11316763617133795</v>
      </c>
      <c r="T26" s="27">
        <f>('Data &amp; Forecasting '!W45-'Data &amp; Forecasting '!V45)/'Data &amp; Forecasting '!V45</f>
        <v>5.7482185273159021E-2</v>
      </c>
    </row>
    <row r="27" spans="1:27" x14ac:dyDescent="0.2">
      <c r="A27" s="22" t="s">
        <v>156</v>
      </c>
      <c r="B27" s="22" t="s">
        <v>119</v>
      </c>
      <c r="C27" s="130">
        <f>'Data &amp; Forecasting '!E46*1000000</f>
        <v>124024424599.99998</v>
      </c>
      <c r="D27" s="130">
        <f>'Data &amp; Forecasting '!F46*1000000</f>
        <v>122560424599.99998</v>
      </c>
      <c r="E27" s="132"/>
      <c r="F27" s="130">
        <f>'Data &amp; Forecasting '!H46*1000000</f>
        <v>31329000000</v>
      </c>
      <c r="G27" s="130">
        <f>'Data &amp; Forecasting '!K46*1000000</f>
        <v>7015000000</v>
      </c>
      <c r="H27" s="130">
        <f>'Data &amp; Forecasting '!N46*1000000</f>
        <v>5197000000</v>
      </c>
      <c r="I27" s="130">
        <f>'Data &amp; Forecasting '!Q46*1000000</f>
        <v>7177000000</v>
      </c>
      <c r="J27" s="24"/>
      <c r="K27" s="27">
        <f>G27/F27</f>
        <v>0.22391394554566058</v>
      </c>
      <c r="L27" s="27">
        <f>H27/F27</f>
        <v>0.16588464362092631</v>
      </c>
      <c r="M27" s="27">
        <f>I27/F27</f>
        <v>0.22908487343994383</v>
      </c>
      <c r="N27" s="27"/>
      <c r="O27" s="27">
        <f>('Data &amp; Forecasting '!H46-'Data &amp; Forecasting '!G46)/'Data &amp; Forecasting '!G46</f>
        <v>0.14686825053995681</v>
      </c>
      <c r="P27" s="27">
        <f>('Data &amp; Forecasting '!I46-'Data &amp; Forecasting '!H46)/'Data &amp; Forecasting '!H46</f>
        <v>0.13588049411088768</v>
      </c>
      <c r="Q27" s="27">
        <f>('Data &amp; Forecasting '!K46-'Data &amp; Forecasting '!J46)/'Data &amp; Forecasting '!J46</f>
        <v>0.29595418437095883</v>
      </c>
      <c r="R27" s="27">
        <f>('Data &amp; Forecasting '!L46-'Data &amp; Forecasting '!K46)/'Data &amp; Forecasting '!K46</f>
        <v>9.4511760513186036E-2</v>
      </c>
      <c r="S27" s="27">
        <f>('Data &amp; Forecasting '!V46-'Data &amp; Forecasting '!U46)/'Data &amp; Forecasting '!U46</f>
        <v>-11.760119940029984</v>
      </c>
      <c r="T27" s="27">
        <f>('Data &amp; Forecasting '!W46-'Data &amp; Forecasting '!V46)/'Data &amp; Forecasting '!V46</f>
        <v>-0.44879476104221822</v>
      </c>
      <c r="U27" s="114"/>
      <c r="V27" s="114"/>
      <c r="W27" s="114"/>
      <c r="X27" s="114"/>
      <c r="Y27" s="114"/>
      <c r="Z27" s="114"/>
      <c r="AA27" s="114"/>
    </row>
    <row r="28" spans="1:27" x14ac:dyDescent="0.2">
      <c r="A28" s="22" t="s">
        <v>157</v>
      </c>
      <c r="B28" s="22" t="s">
        <v>126</v>
      </c>
      <c r="C28" s="130">
        <f>'Data &amp; Forecasting '!E47*1000000</f>
        <v>132645360000.00002</v>
      </c>
      <c r="D28" s="130">
        <f>'Data &amp; Forecasting '!F47*1000000</f>
        <v>130883360000.00002</v>
      </c>
      <c r="E28" s="132"/>
      <c r="F28" s="130">
        <f>'Data &amp; Forecasting '!H47*1000000</f>
        <v>20059000000</v>
      </c>
      <c r="G28" s="130">
        <f>'Data &amp; Forecasting '!K47*1000000</f>
        <v>4362000000</v>
      </c>
      <c r="H28" s="130">
        <f>'Data &amp; Forecasting '!N47*1000000</f>
        <v>3462000000</v>
      </c>
      <c r="I28" s="130">
        <f>'Data &amp; Forecasting '!Q47*1000000</f>
        <v>5841000000</v>
      </c>
      <c r="J28" s="24"/>
      <c r="K28" s="27">
        <f>G28/F28</f>
        <v>0.21745849743257389</v>
      </c>
      <c r="L28" s="27">
        <f>H28/F28</f>
        <v>0.1725908569719328</v>
      </c>
      <c r="M28" s="27">
        <f>I28/F28</f>
        <v>0.29119098658956077</v>
      </c>
      <c r="N28" s="27"/>
      <c r="O28" s="27">
        <f>('Data &amp; Forecasting '!H47-'Data &amp; Forecasting '!G47)/'Data &amp; Forecasting '!G47</f>
        <v>0.12387942626624832</v>
      </c>
      <c r="P28" s="27">
        <f>('Data &amp; Forecasting '!I47-'Data &amp; Forecasting '!H47)/'Data &amp; Forecasting '!H47</f>
        <v>0.11670571813151204</v>
      </c>
      <c r="Q28" s="27">
        <f>('Data &amp; Forecasting '!K47-'Data &amp; Forecasting '!J47)/'Data &amp; Forecasting '!J47</f>
        <v>0.31504371419957794</v>
      </c>
      <c r="R28" s="27">
        <f>('Data &amp; Forecasting '!L47-'Data &amp; Forecasting '!K47)/'Data &amp; Forecasting '!K47</f>
        <v>0.10797799174690509</v>
      </c>
      <c r="S28" s="27">
        <f>('Data &amp; Forecasting '!V47-'Data &amp; Forecasting '!U47)/'Data &amp; Forecasting '!U47</f>
        <v>1.3169377231257435</v>
      </c>
      <c r="T28" s="27">
        <f>('Data &amp; Forecasting '!W47-'Data &amp; Forecasting '!V47)/'Data &amp; Forecasting '!V47</f>
        <v>-0.4711521999657593</v>
      </c>
      <c r="U28" s="114"/>
      <c r="V28" s="114"/>
      <c r="W28" s="114"/>
      <c r="X28" s="114"/>
      <c r="Y28" s="114"/>
      <c r="Z28" s="114"/>
      <c r="AA28" s="114"/>
    </row>
    <row r="29" spans="1:27" x14ac:dyDescent="0.2">
      <c r="A29" s="22"/>
      <c r="B29" s="22"/>
      <c r="C29" s="23"/>
      <c r="D29" s="23"/>
      <c r="E29" s="23"/>
      <c r="F29" s="23"/>
      <c r="G29" s="23"/>
      <c r="H29" s="23"/>
      <c r="I29" s="23"/>
      <c r="J29" s="24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14"/>
      <c r="V29" s="114"/>
      <c r="W29" s="114"/>
      <c r="X29" s="114"/>
      <c r="Y29" s="114"/>
      <c r="Z29" s="114"/>
      <c r="AA29" s="114"/>
    </row>
    <row r="30" spans="1:27" x14ac:dyDescent="0.2">
      <c r="A30" s="28" t="s">
        <v>19</v>
      </c>
      <c r="B30" s="28"/>
      <c r="C30" s="51"/>
      <c r="D30" s="51"/>
      <c r="E30" s="29"/>
      <c r="F30" s="143"/>
      <c r="G30" s="143"/>
      <c r="H30" s="143"/>
      <c r="I30" s="143"/>
      <c r="J30" s="32"/>
      <c r="K30" s="32">
        <f>+AVERAGE(K24:K28)</f>
        <v>0.16579585303677299</v>
      </c>
      <c r="L30" s="147">
        <f>+AVERAGE(L24:L28)</f>
        <v>0.13018681506497076</v>
      </c>
      <c r="M30" s="147">
        <f>+AVERAGE(M24:M28)</f>
        <v>0.15338423771010268</v>
      </c>
      <c r="N30" s="31"/>
      <c r="O30" s="32">
        <f>+AVERAGE(O24:O28)</f>
        <v>9.0175014327137606E-2</v>
      </c>
      <c r="P30" s="147">
        <f>+AVERAGE(P24:P28)</f>
        <v>7.8715874321758125E-2</v>
      </c>
      <c r="Q30" s="147">
        <f>+AVERAGE(Q24:Q28)</f>
        <v>0.17145408919089275</v>
      </c>
      <c r="R30" s="32">
        <f>+AVERAGE(R24:R28)</f>
        <v>9.7678656086488E-2</v>
      </c>
      <c r="S30" s="147">
        <f>+AVERAGE(S24:S28)</f>
        <v>-2.0775761125383223</v>
      </c>
      <c r="T30" s="147">
        <f>+AVERAGE(T24:T28)</f>
        <v>-0.10676970925711644</v>
      </c>
      <c r="U30" s="114"/>
      <c r="V30" s="114"/>
      <c r="W30" s="114"/>
      <c r="X30" s="114"/>
      <c r="Y30" s="114"/>
      <c r="Z30" s="114"/>
      <c r="AA30" s="114"/>
    </row>
    <row r="31" spans="1:27" x14ac:dyDescent="0.2">
      <c r="A31" s="28" t="s">
        <v>20</v>
      </c>
      <c r="B31" s="28"/>
      <c r="C31" s="51"/>
      <c r="D31" s="51"/>
      <c r="E31" s="29"/>
      <c r="F31" s="143"/>
      <c r="G31" s="143"/>
      <c r="H31" s="143"/>
      <c r="I31" s="143"/>
      <c r="J31" s="32"/>
      <c r="K31" s="32">
        <f>MEDIAN(K24:K28)</f>
        <v>0.14260857129236784</v>
      </c>
      <c r="L31" s="147">
        <f>MEDIAN(L24:L28)</f>
        <v>0.10752252466987654</v>
      </c>
      <c r="M31" s="147">
        <f>MEDIAN(M24:M28)</f>
        <v>9.9680602564713727E-2</v>
      </c>
      <c r="N31" s="31"/>
      <c r="O31" s="32">
        <f>MEDIAN(O24:O28)</f>
        <v>0.10130773744655881</v>
      </c>
      <c r="P31" s="147">
        <f>MEDIAN(P24:P28)</f>
        <v>5.3725615606012155E-2</v>
      </c>
      <c r="Q31" s="147">
        <f>MEDIAN(Q24:Q28)</f>
        <v>0.10524463217177051</v>
      </c>
      <c r="R31" s="32">
        <f>MEDIAN(R24:R28)</f>
        <v>9.4511760513186036E-2</v>
      </c>
      <c r="S31" s="147">
        <f>MEDIAN(S24:S28)</f>
        <v>1.9166267369429932E-3</v>
      </c>
      <c r="T31" s="147">
        <f>MEDIAN(T24:T28)</f>
        <v>-4.8302247728359657E-2</v>
      </c>
      <c r="U31" s="114"/>
      <c r="V31" s="114"/>
      <c r="W31" s="114"/>
      <c r="X31" s="114"/>
      <c r="Y31" s="114"/>
      <c r="Z31" s="114"/>
      <c r="AA31" s="114"/>
    </row>
    <row r="32" spans="1:27" x14ac:dyDescent="0.2">
      <c r="A32" s="33"/>
      <c r="B32" s="33"/>
      <c r="C32" s="33"/>
      <c r="D32" s="42"/>
      <c r="E32" s="34"/>
      <c r="F32" s="36"/>
      <c r="G32" s="36"/>
      <c r="H32" s="36"/>
      <c r="I32" s="36"/>
      <c r="J32" s="36"/>
      <c r="K32" s="36"/>
      <c r="L32" s="148"/>
      <c r="M32" s="148"/>
      <c r="N32" s="35"/>
      <c r="O32" s="36"/>
      <c r="P32" s="148"/>
      <c r="Q32" s="148"/>
      <c r="R32" s="36"/>
      <c r="S32" s="148"/>
      <c r="T32" s="148"/>
      <c r="U32" s="114"/>
      <c r="V32" s="114"/>
      <c r="W32" s="114"/>
      <c r="X32" s="114"/>
      <c r="Y32" s="114"/>
      <c r="Z32" s="114"/>
      <c r="AA32" s="114"/>
    </row>
    <row r="33" spans="1:27" x14ac:dyDescent="0.2">
      <c r="A33" s="26" t="s">
        <v>21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149"/>
      <c r="M33" s="149"/>
      <c r="N33" s="26"/>
      <c r="O33" s="26"/>
      <c r="P33" s="149"/>
      <c r="Q33" s="149"/>
      <c r="R33" s="26"/>
      <c r="S33" s="149"/>
      <c r="T33" s="149"/>
      <c r="U33" s="114"/>
      <c r="V33" s="114"/>
      <c r="W33" s="114"/>
      <c r="X33" s="114"/>
      <c r="Y33" s="114"/>
      <c r="Z33" s="114"/>
      <c r="AA33" s="114"/>
    </row>
    <row r="34" spans="1:27" x14ac:dyDescent="0.2">
      <c r="A34" s="22"/>
      <c r="B34" s="22"/>
      <c r="C34" s="37"/>
      <c r="D34" s="42"/>
      <c r="E34" s="34"/>
      <c r="F34" s="53"/>
      <c r="G34" s="53"/>
      <c r="H34" s="53"/>
      <c r="I34" s="35"/>
      <c r="J34" s="53"/>
      <c r="K34" s="53"/>
      <c r="L34" s="148"/>
      <c r="M34" s="148"/>
      <c r="N34" s="35"/>
      <c r="O34" s="53"/>
      <c r="P34" s="148"/>
      <c r="Q34" s="148"/>
      <c r="R34" s="53"/>
      <c r="S34" s="148"/>
      <c r="T34" s="148"/>
      <c r="U34" s="114"/>
      <c r="V34" s="114"/>
      <c r="W34" s="114"/>
      <c r="X34" s="114"/>
      <c r="Y34" s="114"/>
      <c r="Z34" s="114"/>
      <c r="AA34" s="114"/>
    </row>
    <row r="35" spans="1:27" x14ac:dyDescent="0.2">
      <c r="A35" s="28" t="s">
        <v>19</v>
      </c>
      <c r="B35" s="28"/>
      <c r="C35" s="143"/>
      <c r="D35" s="143"/>
      <c r="E35" s="144"/>
      <c r="F35" s="143"/>
      <c r="G35" s="143"/>
      <c r="H35" s="143"/>
      <c r="I35" s="143"/>
      <c r="J35" s="32"/>
      <c r="K35" s="32">
        <f>+AVERAGE(K14:K18,K24:K28)</f>
        <v>0.16045024294216179</v>
      </c>
      <c r="L35" s="147">
        <f>+AVERAGE(L14:L18,L24:L28)</f>
        <v>0.12334396899567412</v>
      </c>
      <c r="M35" s="147">
        <f>+AVERAGE(M14:M18,M24:M28)</f>
        <v>0.11880943771225042</v>
      </c>
      <c r="N35" s="31"/>
      <c r="O35" s="32">
        <f>+AVERAGE(O14:O18,O24:O28)</f>
        <v>0.11472368091248523</v>
      </c>
      <c r="P35" s="147">
        <f>+AVERAGE(P14:P18,P24:P28)</f>
        <v>0.10380333885988191</v>
      </c>
      <c r="Q35" s="147">
        <f>+AVERAGE(Q14:Q18,Q24:Q28)</f>
        <v>0.20893212053311064</v>
      </c>
      <c r="R35" s="32">
        <f>+AVERAGE(R14:R18,R24:R28)</f>
        <v>9.7973630967606556E-2</v>
      </c>
      <c r="S35" s="147">
        <f>+AVERAGE(S14:S18,S24:S28)</f>
        <v>-0.89491582555614302</v>
      </c>
      <c r="T35" s="147">
        <f>+AVERAGE(T14:T18,T24:T28)</f>
        <v>7.3035702254510724E-3</v>
      </c>
      <c r="U35" s="114"/>
      <c r="V35" s="114"/>
      <c r="W35" s="114"/>
      <c r="X35" s="114"/>
      <c r="Y35" s="114"/>
      <c r="Z35" s="114"/>
      <c r="AA35" s="114"/>
    </row>
    <row r="36" spans="1:27" x14ac:dyDescent="0.2">
      <c r="A36" s="28" t="s">
        <v>20</v>
      </c>
      <c r="B36" s="28"/>
      <c r="C36" s="143"/>
      <c r="D36" s="143"/>
      <c r="E36" s="144"/>
      <c r="F36" s="143"/>
      <c r="G36" s="143"/>
      <c r="H36" s="143"/>
      <c r="I36" s="143"/>
      <c r="J36" s="32"/>
      <c r="K36" s="32">
        <f>+MEDIAN(K14:K18,K24:K28)</f>
        <v>0.14498317415258713</v>
      </c>
      <c r="L36" s="147">
        <f>+MEDIAN(L14:L18,L24:L28)</f>
        <v>0.10793254926990664</v>
      </c>
      <c r="M36" s="147">
        <f>+MEDIAN(M14:M18,M24:M28)</f>
        <v>7.9945396171687472E-2</v>
      </c>
      <c r="N36" s="31"/>
      <c r="O36" s="32">
        <f>+MEDIAN(O14:O18,O24:O28)</f>
        <v>9.9632081862951749E-2</v>
      </c>
      <c r="P36" s="147">
        <f>+MEDIAN(P14:P18,P24:P28)</f>
        <v>8.5646003433178283E-2</v>
      </c>
      <c r="Q36" s="147">
        <f>+MEDIAN(Q14:Q18,Q24:Q28)</f>
        <v>0.20059940827136469</v>
      </c>
      <c r="R36" s="32">
        <f>+MEDIAN(R14:R18,R24:R28)</f>
        <v>0.10124487613004557</v>
      </c>
      <c r="S36" s="147">
        <f>+MEDIAN(S14:S18,S24:S28)</f>
        <v>0.12641622032030578</v>
      </c>
      <c r="T36" s="147">
        <f>+MEDIAN(T14:T18,T24:T28)</f>
        <v>8.1576913532101822E-2</v>
      </c>
      <c r="U36" s="114"/>
      <c r="V36" s="114"/>
      <c r="W36" s="114"/>
      <c r="X36" s="114"/>
      <c r="Y36" s="114"/>
      <c r="Z36" s="114"/>
      <c r="AA36" s="114"/>
    </row>
    <row r="37" spans="1:27" x14ac:dyDescent="0.2">
      <c r="A37" s="33"/>
      <c r="B37" s="33"/>
      <c r="C37" s="33"/>
      <c r="D37" s="145"/>
      <c r="E37" s="146"/>
      <c r="F37" s="145"/>
      <c r="G37" s="145"/>
      <c r="H37" s="145"/>
      <c r="I37" s="36"/>
      <c r="J37" s="36"/>
      <c r="K37" s="36"/>
      <c r="L37" s="148"/>
      <c r="M37" s="148"/>
      <c r="N37" s="35"/>
      <c r="O37" s="36"/>
      <c r="P37" s="148"/>
      <c r="Q37" s="148"/>
      <c r="R37" s="36"/>
      <c r="S37" s="148"/>
      <c r="T37" s="148"/>
      <c r="U37" s="114"/>
      <c r="V37" s="114"/>
      <c r="W37" s="114"/>
      <c r="X37" s="114"/>
      <c r="Y37" s="114"/>
      <c r="Z37" s="114"/>
      <c r="AA37" s="114"/>
    </row>
    <row r="38" spans="1:27" x14ac:dyDescent="0.2">
      <c r="A38" s="28" t="s">
        <v>22</v>
      </c>
      <c r="B38" s="28"/>
      <c r="C38" s="143"/>
      <c r="D38" s="143"/>
      <c r="E38" s="144"/>
      <c r="F38" s="143"/>
      <c r="G38" s="143"/>
      <c r="H38" s="143"/>
      <c r="I38" s="143"/>
      <c r="J38" s="32"/>
      <c r="K38" s="32">
        <f>+MAX(K14:K18,K24:K28)</f>
        <v>0.22391394554566058</v>
      </c>
      <c r="L38" s="147">
        <f>+MAX(L14:L18,L24:L28)</f>
        <v>0.1725908569719328</v>
      </c>
      <c r="M38" s="147">
        <f>+MAX(M14:M18,M24:M28)</f>
        <v>0.29119098658956077</v>
      </c>
      <c r="N38" s="31"/>
      <c r="O38" s="32">
        <f>+MAX(O14:O18,O24:O28)</f>
        <v>0.24148640805634422</v>
      </c>
      <c r="P38" s="147">
        <f>+MAX(P14:P18,P24:P28)</f>
        <v>0.20876607788138377</v>
      </c>
      <c r="Q38" s="147">
        <f>+MAX(Q14:Q18,Q24:Q28)</f>
        <v>0.37319382162431491</v>
      </c>
      <c r="R38" s="32">
        <f>+MAX(R14:R18,R24:R28)</f>
        <v>0.2034899092271085</v>
      </c>
      <c r="S38" s="147">
        <f>+MAX(S14:S18,S24:S28)</f>
        <v>1.3169377231257435</v>
      </c>
      <c r="T38" s="147">
        <f>+MAX(T14:T18,T24:T28)</f>
        <v>0.37691847717759602</v>
      </c>
      <c r="U38" s="114"/>
      <c r="V38" s="114"/>
      <c r="W38" s="114"/>
      <c r="X38" s="114"/>
      <c r="Y38" s="114"/>
      <c r="Z38" s="114"/>
      <c r="AA38" s="114"/>
    </row>
    <row r="39" spans="1:27" x14ac:dyDescent="0.2">
      <c r="A39" s="28" t="s">
        <v>23</v>
      </c>
      <c r="B39" s="28"/>
      <c r="C39" s="143"/>
      <c r="D39" s="143"/>
      <c r="E39" s="144"/>
      <c r="F39" s="143"/>
      <c r="G39" s="143"/>
      <c r="H39" s="143"/>
      <c r="I39" s="143"/>
      <c r="J39" s="32"/>
      <c r="K39" s="32">
        <f>+MIN(K14:K18,K24:K28)</f>
        <v>0.11950523311132255</v>
      </c>
      <c r="L39" s="147">
        <f>+MIN(L14:L18,L24:L28)</f>
        <v>8.9832333487155816E-2</v>
      </c>
      <c r="M39" s="147">
        <f>+MIN(M14:M18,M24:M28)</f>
        <v>6.2759575449930785E-2</v>
      </c>
      <c r="N39" s="31"/>
      <c r="O39" s="32">
        <f>+MIN(O14:O18,O24:O28)</f>
        <v>2.2445348865547242E-2</v>
      </c>
      <c r="P39" s="147">
        <f>+MIN(P14:P18,P24:P28)</f>
        <v>4.1598477640342531E-2</v>
      </c>
      <c r="Q39" s="147">
        <f>+MIN(Q14:Q18,Q24:Q28)</f>
        <v>4.2334494773519166E-2</v>
      </c>
      <c r="R39" s="32">
        <f>+MIN(R14:R18,R24:R28)</f>
        <v>-2.2733211392735823E-2</v>
      </c>
      <c r="S39" s="147">
        <f>+MIN(S14:S18,S24:S28)</f>
        <v>-11.760119940029984</v>
      </c>
      <c r="T39" s="147">
        <f>+MIN(T14:T18,T24:T28)</f>
        <v>-0.4711521999657593</v>
      </c>
      <c r="U39" s="114"/>
      <c r="V39" s="114"/>
      <c r="W39" s="114"/>
      <c r="X39" s="114"/>
      <c r="Y39" s="114"/>
      <c r="Z39" s="114"/>
      <c r="AA39" s="114"/>
    </row>
    <row r="40" spans="1:27" x14ac:dyDescent="0.2">
      <c r="U40" s="114"/>
      <c r="V40" s="114"/>
      <c r="W40" s="114"/>
      <c r="X40" s="114"/>
      <c r="Y40" s="114"/>
      <c r="Z40" s="114"/>
      <c r="AA40" s="114"/>
    </row>
    <row r="41" spans="1:27" x14ac:dyDescent="0.2">
      <c r="U41" s="114"/>
      <c r="V41" s="114"/>
      <c r="W41" s="114"/>
      <c r="X41" s="114"/>
      <c r="Y41" s="114"/>
      <c r="Z41" s="114"/>
      <c r="AA41" s="114"/>
    </row>
    <row r="42" spans="1:27" x14ac:dyDescent="0.2">
      <c r="U42" s="114"/>
      <c r="V42" s="114"/>
      <c r="W42" s="114"/>
      <c r="X42" s="114"/>
      <c r="Y42" s="114"/>
      <c r="Z42" s="114"/>
      <c r="AA42" s="114"/>
    </row>
  </sheetData>
  <mergeCells count="1">
    <mergeCell ref="K6:M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E795-8572-CA49-A724-EF3C415CFC26}">
  <dimension ref="A1:X40"/>
  <sheetViews>
    <sheetView showGridLines="0" zoomScale="112" workbookViewId="0">
      <selection activeCell="A3" sqref="A3"/>
    </sheetView>
  </sheetViews>
  <sheetFormatPr baseColWidth="10" defaultRowHeight="16" x14ac:dyDescent="0.2"/>
  <cols>
    <col min="1" max="1" width="26.5" customWidth="1"/>
  </cols>
  <sheetData>
    <row r="1" spans="1:24" ht="25" x14ac:dyDescent="0.25">
      <c r="A1" s="1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x14ac:dyDescent="0.2">
      <c r="A2" s="4" t="s">
        <v>254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24" x14ac:dyDescent="0.2">
      <c r="A5" s="9"/>
      <c r="B5" s="9"/>
      <c r="C5" s="9"/>
      <c r="D5" s="9"/>
      <c r="E5" s="9"/>
      <c r="F5" s="12"/>
      <c r="G5" s="12"/>
      <c r="H5" s="12"/>
      <c r="I5" s="9"/>
      <c r="J5" s="12"/>
      <c r="K5" s="12"/>
      <c r="L5" s="12"/>
      <c r="M5" s="12"/>
      <c r="N5" s="12"/>
      <c r="O5" s="12"/>
      <c r="P5" s="12"/>
      <c r="Q5" s="12"/>
      <c r="R5" s="9"/>
      <c r="S5" s="12"/>
    </row>
    <row r="6" spans="1:24" x14ac:dyDescent="0.2">
      <c r="A6" s="9"/>
      <c r="B6" s="9"/>
      <c r="C6" s="10" t="s">
        <v>26</v>
      </c>
      <c r="D6" s="10"/>
      <c r="E6" s="9"/>
      <c r="F6" s="10" t="s">
        <v>27</v>
      </c>
      <c r="G6" s="10"/>
      <c r="H6" s="10"/>
      <c r="I6" s="9"/>
      <c r="J6" s="10" t="s">
        <v>28</v>
      </c>
      <c r="K6" s="10"/>
      <c r="L6" s="10"/>
      <c r="M6" s="12"/>
      <c r="N6" s="10" t="s">
        <v>29</v>
      </c>
      <c r="O6" s="10"/>
      <c r="P6" s="10"/>
      <c r="Q6" s="39"/>
      <c r="R6" s="10" t="s">
        <v>30</v>
      </c>
      <c r="S6" s="10"/>
      <c r="U6" s="10" t="s">
        <v>48</v>
      </c>
      <c r="V6" s="10"/>
      <c r="W6" s="10"/>
      <c r="X6" s="10"/>
    </row>
    <row r="7" spans="1:24" x14ac:dyDescent="0.2">
      <c r="A7" s="12"/>
      <c r="B7" s="12"/>
      <c r="C7" s="12"/>
      <c r="D7" s="11"/>
      <c r="E7" s="12"/>
      <c r="F7" s="11"/>
      <c r="G7" s="11"/>
      <c r="H7" s="11"/>
      <c r="I7" s="12"/>
      <c r="J7" s="11" t="s">
        <v>31</v>
      </c>
      <c r="K7" s="11" t="s">
        <v>32</v>
      </c>
      <c r="L7" s="11" t="s">
        <v>33</v>
      </c>
      <c r="M7" s="11"/>
      <c r="N7" s="11" t="s">
        <v>34</v>
      </c>
      <c r="O7" s="11" t="s">
        <v>6</v>
      </c>
      <c r="P7" s="11" t="s">
        <v>35</v>
      </c>
      <c r="Q7" s="11"/>
      <c r="R7" s="11"/>
      <c r="S7" s="12"/>
      <c r="U7" s="150" t="s">
        <v>49</v>
      </c>
      <c r="V7" s="150" t="s">
        <v>49</v>
      </c>
      <c r="W7" s="150" t="s">
        <v>50</v>
      </c>
      <c r="X7" s="150" t="s">
        <v>49</v>
      </c>
    </row>
    <row r="8" spans="1:24" x14ac:dyDescent="0.2">
      <c r="A8" s="12"/>
      <c r="B8" s="12"/>
      <c r="C8" s="11"/>
      <c r="D8" s="11" t="s">
        <v>36</v>
      </c>
      <c r="E8" s="12"/>
      <c r="F8" s="11" t="s">
        <v>37</v>
      </c>
      <c r="G8" s="11" t="s">
        <v>38</v>
      </c>
      <c r="H8" s="11" t="s">
        <v>39</v>
      </c>
      <c r="I8" s="12"/>
      <c r="J8" s="11" t="s">
        <v>40</v>
      </c>
      <c r="K8" s="11" t="s">
        <v>6</v>
      </c>
      <c r="L8" s="11" t="s">
        <v>6</v>
      </c>
      <c r="M8" s="11"/>
      <c r="N8" s="11" t="s">
        <v>41</v>
      </c>
      <c r="O8" s="40" t="s">
        <v>42</v>
      </c>
      <c r="P8" s="11" t="s">
        <v>41</v>
      </c>
      <c r="Q8" s="11"/>
      <c r="R8" s="11"/>
      <c r="S8" s="11"/>
      <c r="U8" s="150" t="s">
        <v>6</v>
      </c>
      <c r="V8" s="150" t="s">
        <v>10</v>
      </c>
      <c r="W8" s="150"/>
      <c r="X8" s="150" t="s">
        <v>5</v>
      </c>
    </row>
    <row r="9" spans="1:24" x14ac:dyDescent="0.2">
      <c r="A9" s="15" t="s">
        <v>14</v>
      </c>
      <c r="B9" s="16" t="s">
        <v>118</v>
      </c>
      <c r="C9" s="17" t="s">
        <v>43</v>
      </c>
      <c r="D9" s="17" t="s">
        <v>44</v>
      </c>
      <c r="E9" s="14"/>
      <c r="F9" s="17" t="s">
        <v>17</v>
      </c>
      <c r="G9" s="17" t="s">
        <v>17</v>
      </c>
      <c r="H9" s="17" t="s">
        <v>17</v>
      </c>
      <c r="I9" s="12"/>
      <c r="J9" s="17" t="s">
        <v>17</v>
      </c>
      <c r="K9" s="17" t="s">
        <v>45</v>
      </c>
      <c r="L9" s="17" t="s">
        <v>45</v>
      </c>
      <c r="M9" s="11"/>
      <c r="N9" s="17" t="s">
        <v>45</v>
      </c>
      <c r="O9" s="17" t="s">
        <v>45</v>
      </c>
      <c r="P9" s="17" t="s">
        <v>45</v>
      </c>
      <c r="Q9" s="11"/>
      <c r="R9" s="17" t="s">
        <v>46</v>
      </c>
      <c r="S9" s="17" t="s">
        <v>47</v>
      </c>
      <c r="U9" s="17" t="s">
        <v>45</v>
      </c>
      <c r="V9" s="17" t="s">
        <v>45</v>
      </c>
      <c r="W9" s="17" t="s">
        <v>45</v>
      </c>
      <c r="X9" s="17" t="s">
        <v>45</v>
      </c>
    </row>
    <row r="10" spans="1:24" x14ac:dyDescent="0.2">
      <c r="A10" s="9"/>
      <c r="B10" s="14"/>
      <c r="C10" s="14"/>
      <c r="D10" s="14"/>
      <c r="E10" s="14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24" x14ac:dyDescent="0.2">
      <c r="A11" s="19" t="s">
        <v>24</v>
      </c>
      <c r="B11" s="19" t="s">
        <v>119</v>
      </c>
      <c r="C11" s="41">
        <f>+[1]TargetCo!$E$10</f>
        <v>43465</v>
      </c>
      <c r="D11" s="42">
        <f>'Data &amp; Forecasting '!D14</f>
        <v>0.34</v>
      </c>
      <c r="E11" s="19"/>
      <c r="F11" s="134">
        <f>('Data &amp; Forecasting '!J16*(1-'Data &amp; Forecasting '!J23))/('Data &amp; Forecasting '!J30+'Data &amp; Forecasting '!D28-'Data &amp; Forecasting '!D30)</f>
        <v>0.13581861421999308</v>
      </c>
      <c r="G11" s="21">
        <f>'Data &amp; Forecasting '!J22/'Data &amp; Forecasting '!J30</f>
        <v>0.18311364446027786</v>
      </c>
      <c r="H11" s="21">
        <f>'Data &amp; Forecasting '!J22/'Data &amp; Forecasting '!J31</f>
        <v>6.129263057476747E-2</v>
      </c>
      <c r="I11" s="43"/>
      <c r="J11" s="21">
        <f>'Data &amp; Forecasting '!D28/('Data &amp; Forecasting '!D28+'Data &amp; Forecasting '!J30)</f>
        <v>0.26450936722127605</v>
      </c>
      <c r="K11" s="44">
        <f>'Data &amp; Forecasting '!D28/'Data &amp; Forecasting '!J29</f>
        <v>0.92402745995423341</v>
      </c>
      <c r="L11" s="44">
        <f>('Data &amp; Forecasting '!D28+'Data &amp; Forecasting '!D30)/'Data &amp; Forecasting '!J29</f>
        <v>0.1688787185354691</v>
      </c>
      <c r="M11" s="44"/>
      <c r="N11" s="44">
        <f>'Data &amp; Forecasting '!J29/'Data &amp; Forecasting '!J17</f>
        <v>19.508928571428573</v>
      </c>
      <c r="O11" s="44">
        <f>('Data &amp; Forecasting '!J29-'Data &amp; Forecasting '!J32)/'Data &amp; Forecasting '!J17</f>
        <v>11.723214285714286</v>
      </c>
      <c r="P11" s="44">
        <f>'Data &amp; Forecasting '!J16/'Data &amp; Forecasting '!J17</f>
        <v>15.044642857142858</v>
      </c>
      <c r="Q11" s="45"/>
      <c r="R11" s="44" t="s">
        <v>96</v>
      </c>
      <c r="S11" s="44" t="str">
        <f>+[1]TargetCo!$E$12</f>
        <v>NA</v>
      </c>
      <c r="U11" s="44">
        <f>'Data &amp; Forecasting '!D31/'Data &amp; Forecasting '!J29</f>
        <v>32.496224256292905</v>
      </c>
      <c r="V11" s="44">
        <f>'Data &amp; Forecasting '!D31/'Data &amp; Forecasting '!J16</f>
        <v>42.139020771513351</v>
      </c>
      <c r="W11" s="44">
        <f>'Data &amp; Forecasting '!D23/'Data &amp; Forecasting '!J26</f>
        <v>68.711332684824896</v>
      </c>
      <c r="X11" s="44">
        <f>'Data &amp; Forecasting '!D31/'Data &amp; Forecasting '!J11</f>
        <v>7.1468797181680923</v>
      </c>
    </row>
    <row r="12" spans="1:24" x14ac:dyDescent="0.2">
      <c r="A12" s="22"/>
      <c r="B12" s="46"/>
      <c r="C12" s="46"/>
      <c r="D12" s="46"/>
      <c r="E12" s="46"/>
      <c r="F12" s="25"/>
      <c r="G12" s="25"/>
      <c r="H12" s="25"/>
      <c r="I12" s="18"/>
      <c r="J12" s="25"/>
      <c r="K12" s="25"/>
      <c r="L12" s="25"/>
      <c r="M12" s="25"/>
      <c r="N12" s="25"/>
      <c r="O12" s="25"/>
      <c r="P12" s="25"/>
      <c r="Q12" s="25"/>
      <c r="R12" s="47"/>
      <c r="S12" s="47"/>
    </row>
    <row r="13" spans="1:24" x14ac:dyDescent="0.2">
      <c r="A13" s="26" t="s">
        <v>98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 spans="1:24" x14ac:dyDescent="0.2">
      <c r="A14" s="22" t="s">
        <v>120</v>
      </c>
      <c r="B14" s="22" t="s">
        <v>126</v>
      </c>
      <c r="C14" s="48">
        <f>+'[1]CompCo 1'!$E$10</f>
        <v>43465</v>
      </c>
      <c r="D14" s="49">
        <v>0</v>
      </c>
      <c r="E14" s="22"/>
      <c r="F14" s="27">
        <f>('Data &amp; Forecasting '!N36*(1-'Data &amp; Forecasting '!AD36))/('Data &amp; Forecasting '!T36+'Data &amp; Forecasting '!Y36)</f>
        <v>0.15358662794143799</v>
      </c>
      <c r="G14" s="27">
        <f>'Data &amp; Forecasting '!Q36/'Data &amp; Forecasting '!Y36</f>
        <v>0.1727402194856329</v>
      </c>
      <c r="H14" s="27">
        <f>'Data &amp; Forecasting '!Q36/'Data &amp; Forecasting '!AA36</f>
        <v>5.4725443881207037E-2</v>
      </c>
      <c r="I14" s="50"/>
      <c r="J14" s="27">
        <f>'Data &amp; Forecasting '!S36/('Data &amp; Forecasting '!S36+'Data &amp; Forecasting '!Y36)</f>
        <v>0.45961973743775464</v>
      </c>
      <c r="K14" s="47">
        <f>'Data &amp; Forecasting '!S36/'Data &amp; Forecasting '!K36</f>
        <v>2.2587319243604003</v>
      </c>
      <c r="L14" s="47">
        <f>'Data &amp; Forecasting '!T36/'Data &amp; Forecasting '!K36</f>
        <v>1.0976640711902113</v>
      </c>
      <c r="M14" s="47"/>
      <c r="N14" s="47">
        <f>'Data &amp; Forecasting '!K36/'Data &amp; Forecasting '!AE36</f>
        <v>8.9186507936507944</v>
      </c>
      <c r="O14" s="47">
        <f>('Data &amp; Forecasting '!K36-'Data &amp; Forecasting '!AB36)/'Data &amp; Forecasting '!AE36</f>
        <v>6.7301587301587302</v>
      </c>
      <c r="P14" s="47">
        <f>'Data &amp; Forecasting '!N36/'Data &amp; Forecasting '!AE36</f>
        <v>6.5912698412698409</v>
      </c>
      <c r="Q14" s="25"/>
      <c r="R14" s="47" t="s">
        <v>158</v>
      </c>
      <c r="S14" s="47" t="s">
        <v>159</v>
      </c>
      <c r="T14" s="138"/>
      <c r="U14" s="47">
        <f>'Data &amp; Forecasting '!F36/'Data &amp; Forecasting '!K36</f>
        <v>12.193859844271413</v>
      </c>
      <c r="V14" s="47">
        <f>'Data &amp; Forecasting '!F36/'Data &amp; Forecasting '!N36</f>
        <v>16.499518362432269</v>
      </c>
      <c r="W14" s="47">
        <f>'Data &amp; Forecasting '!C36/'Data &amp; Forecasting '!V36</f>
        <v>24.188845780795344</v>
      </c>
      <c r="X14" s="47">
        <f>'Data &amp; Forecasting '!F36/'Data &amp; Forecasting '!H36</f>
        <v>1.7876002870001957</v>
      </c>
    </row>
    <row r="15" spans="1:24" x14ac:dyDescent="0.2">
      <c r="A15" s="22" t="s">
        <v>121</v>
      </c>
      <c r="B15" s="22" t="s">
        <v>119</v>
      </c>
      <c r="C15" s="48">
        <f>+'[1]CompCo 2'!$E$10</f>
        <v>43465</v>
      </c>
      <c r="D15" s="49">
        <v>0.13</v>
      </c>
      <c r="E15" s="22"/>
      <c r="F15" s="27">
        <f>('Data &amp; Forecasting '!N37*(1-'Data &amp; Forecasting '!AD37))/('Data &amp; Forecasting '!T37+'Data &amp; Forecasting '!Y37)</f>
        <v>0.22702140061620449</v>
      </c>
      <c r="G15" s="27">
        <f>'Data &amp; Forecasting '!Q37/'Data &amp; Forecasting '!Y37</f>
        <v>0.21019739731700277</v>
      </c>
      <c r="H15" s="27">
        <f>'Data &amp; Forecasting '!Q37/'Data &amp; Forecasting '!AA37</f>
        <v>4.2778263023746405E-2</v>
      </c>
      <c r="I15" s="50"/>
      <c r="J15" s="27">
        <f>'Data &amp; Forecasting '!S37/('Data &amp; Forecasting '!S37+'Data &amp; Forecasting '!Y37)</f>
        <v>0.43477181484161098</v>
      </c>
      <c r="K15" s="47">
        <f>'Data &amp; Forecasting '!S37/'Data &amp; Forecasting '!K37</f>
        <v>1.6016461980663705</v>
      </c>
      <c r="L15" s="47">
        <f>'Data &amp; Forecasting '!T37/'Data &amp; Forecasting '!K37</f>
        <v>0.42814214789652472</v>
      </c>
      <c r="M15" s="47"/>
      <c r="N15" s="47">
        <f>'Data &amp; Forecasting '!K37/'Data &amp; Forecasting '!AE37</f>
        <v>13.423360224482636</v>
      </c>
      <c r="O15" s="47">
        <f>('Data &amp; Forecasting '!K37-'Data &amp; Forecasting '!AB37)/'Data &amp; Forecasting '!AE37</f>
        <v>10.769203788144511</v>
      </c>
      <c r="P15" s="47">
        <f>'Data &amp; Forecasting '!N37/'Data &amp; Forecasting '!AE37</f>
        <v>9.6106629252893718</v>
      </c>
      <c r="Q15" s="25"/>
      <c r="R15" s="47" t="s">
        <v>160</v>
      </c>
      <c r="S15" s="47" t="s">
        <v>161</v>
      </c>
      <c r="T15" s="138"/>
      <c r="U15" s="47">
        <f>'Data &amp; Forecasting '!F37/'Data &amp; Forecasting '!K37</f>
        <v>12.769188764044944</v>
      </c>
      <c r="V15" s="47">
        <f>'Data &amp; Forecasting '!F37/'Data &amp; Forecasting '!N37</f>
        <v>17.834921678832117</v>
      </c>
      <c r="W15" s="47">
        <f>'Data &amp; Forecasting '!C37/'Data &amp; Forecasting '!V37</f>
        <v>28.196528597014925</v>
      </c>
      <c r="X15" s="47">
        <f>'Data &amp; Forecasting '!F37/'Data &amp; Forecasting '!H37</f>
        <v>2.2076113751355257</v>
      </c>
    </row>
    <row r="16" spans="1:24" x14ac:dyDescent="0.2">
      <c r="A16" s="22" t="s">
        <v>114</v>
      </c>
      <c r="B16" s="22" t="s">
        <v>119</v>
      </c>
      <c r="C16" s="48">
        <f>+'[1]CompCo 3'!$E$10</f>
        <v>43465</v>
      </c>
      <c r="D16" s="49">
        <v>0.47</v>
      </c>
      <c r="E16" s="22"/>
      <c r="F16" s="27">
        <f>('Data &amp; Forecasting '!N38*(1-'Data &amp; Forecasting '!AD38))/('Data &amp; Forecasting '!T38+'Data &amp; Forecasting '!Y38)</f>
        <v>0.13891678917965303</v>
      </c>
      <c r="G16" s="27">
        <f>'Data &amp; Forecasting '!Q38/'Data &amp; Forecasting '!Y38</f>
        <v>0.12803347280334729</v>
      </c>
      <c r="H16" s="27">
        <f>'Data &amp; Forecasting '!Q38/'Data &amp; Forecasting '!AA38</f>
        <v>3.5469008084847431E-2</v>
      </c>
      <c r="I16" s="50"/>
      <c r="J16" s="27">
        <f>'Data &amp; Forecasting '!S38/('Data &amp; Forecasting '!S38+'Data &amp; Forecasting '!Y38)</f>
        <v>0.31952452131824327</v>
      </c>
      <c r="K16" s="47">
        <f>'Data &amp; Forecasting '!S38/'Data &amp; Forecasting '!K38</f>
        <v>1.8480856319473034</v>
      </c>
      <c r="L16" s="47">
        <f>'Data &amp; Forecasting '!T38/'Data &amp; Forecasting '!K38</f>
        <v>0.26471799094277482</v>
      </c>
      <c r="M16" s="47"/>
      <c r="N16" s="47">
        <f>'Data &amp; Forecasting '!K38/'Data &amp; Forecasting '!AE38</f>
        <v>25.302083333333332</v>
      </c>
      <c r="O16" s="47">
        <f>('Data &amp; Forecasting '!K38-'Data &amp; Forecasting '!AB38)/'Data &amp; Forecasting '!AE38</f>
        <v>14.71875</v>
      </c>
      <c r="P16" s="47">
        <f>'Data &amp; Forecasting '!N38/'Data &amp; Forecasting '!AE38</f>
        <v>18.25</v>
      </c>
      <c r="Q16" s="25"/>
      <c r="R16" s="47" t="s">
        <v>163</v>
      </c>
      <c r="S16" s="47" t="s">
        <v>162</v>
      </c>
      <c r="T16" s="138"/>
      <c r="U16" s="47">
        <f>'Data &amp; Forecasting '!F38/'Data &amp; Forecasting '!K38</f>
        <v>11.921041745574311</v>
      </c>
      <c r="V16" s="47">
        <f>'Data &amp; Forecasting '!F38/'Data &amp; Forecasting '!N38</f>
        <v>16.527517351598174</v>
      </c>
      <c r="W16" s="47">
        <f>'Data &amp; Forecasting '!C38/'Data &amp; Forecasting '!V38</f>
        <v>23.131707843137256</v>
      </c>
      <c r="X16" s="47">
        <f>'Data &amp; Forecasting '!F38/'Data &amp; Forecasting '!H38</f>
        <v>1.4847054504435215</v>
      </c>
    </row>
    <row r="17" spans="1:24" x14ac:dyDescent="0.2">
      <c r="A17" s="22" t="s">
        <v>122</v>
      </c>
      <c r="B17" s="22" t="s">
        <v>124</v>
      </c>
      <c r="C17" s="48">
        <f>+'[1]CompCo 4'!$E$10</f>
        <v>43465</v>
      </c>
      <c r="D17" s="49">
        <v>-0.02</v>
      </c>
      <c r="E17" s="22"/>
      <c r="F17" s="27">
        <f>('Data &amp; Forecasting '!N39*(1-'Data &amp; Forecasting '!AD39))/('Data &amp; Forecasting '!T39+'Data &amp; Forecasting '!Y39)</f>
        <v>0.12962806136906449</v>
      </c>
      <c r="G17" s="27">
        <f>'Data &amp; Forecasting '!Q39/'Data &amp; Forecasting '!Y39</f>
        <v>0.14569872623223187</v>
      </c>
      <c r="H17" s="27">
        <f>'Data &amp; Forecasting '!Q39/'Data &amp; Forecasting '!AA39</f>
        <v>5.0631896330510649E-2</v>
      </c>
      <c r="I17" s="50"/>
      <c r="J17" s="27">
        <f>'Data &amp; Forecasting '!S39/('Data &amp; Forecasting '!S39+'Data &amp; Forecasting '!Y39)</f>
        <v>0.25340683952106124</v>
      </c>
      <c r="K17" s="47">
        <f>'Data &amp; Forecasting '!S39/'Data &amp; Forecasting '!K39</f>
        <v>1.2962897682206751</v>
      </c>
      <c r="L17" s="47">
        <f>'Data &amp; Forecasting '!T39/'Data &amp; Forecasting '!K39</f>
        <v>0.53494315678152815</v>
      </c>
      <c r="M17" s="47"/>
      <c r="N17" s="47">
        <f>'Data &amp; Forecasting '!K39/'Data &amp; Forecasting '!AE39</f>
        <v>56.734999999999999</v>
      </c>
      <c r="O17" s="47">
        <f>('Data &amp; Forecasting '!K39-'Data &amp; Forecasting '!AB39)/'Data &amp; Forecasting '!AE39</f>
        <v>20.625</v>
      </c>
      <c r="P17" s="47">
        <f>'Data &amp; Forecasting '!N39/'Data &amp; Forecasting '!AE39</f>
        <v>40.33</v>
      </c>
      <c r="Q17" s="25"/>
      <c r="R17" s="47" t="s">
        <v>160</v>
      </c>
      <c r="S17" s="47" t="s">
        <v>159</v>
      </c>
      <c r="T17" s="138"/>
      <c r="U17" s="47">
        <f>'Data &amp; Forecasting '!F39/'Data &amp; Forecasting '!K39</f>
        <v>25.63684075085926</v>
      </c>
      <c r="V17" s="47">
        <f>'Data &amp; Forecasting '!F39/'Data &amp; Forecasting '!N39</f>
        <v>36.065116786511282</v>
      </c>
      <c r="W17" s="47">
        <f>'Data &amp; Forecasting '!C39/'Data &amp; Forecasting '!V39</f>
        <v>45.111059866962314</v>
      </c>
      <c r="X17" s="47">
        <f>'Data &amp; Forecasting '!F39/'Data &amp; Forecasting '!H39</f>
        <v>3.6755013772016274</v>
      </c>
    </row>
    <row r="18" spans="1:24" x14ac:dyDescent="0.2">
      <c r="A18" s="22" t="s">
        <v>123</v>
      </c>
      <c r="B18" s="22" t="s">
        <v>125</v>
      </c>
      <c r="C18" s="48">
        <f>+'[1]CompCo 5'!$E$10</f>
        <v>43465</v>
      </c>
      <c r="D18" s="49">
        <v>0.45</v>
      </c>
      <c r="E18" s="22"/>
      <c r="F18" s="27">
        <f>('Data &amp; Forecasting '!N40*(1-'Data &amp; Forecasting '!AD40))/('Data &amp; Forecasting '!T40+'Data &amp; Forecasting '!Y40)</f>
        <v>0.61986634615384617</v>
      </c>
      <c r="G18" s="27">
        <f>'Data &amp; Forecasting '!Q40/'Data &amp; Forecasting '!Y40</f>
        <v>0.35221434898139947</v>
      </c>
      <c r="H18" s="27">
        <f>'Data &amp; Forecasting '!Q40/'Data &amp; Forecasting '!AA40</f>
        <v>9.684607890891378E-2</v>
      </c>
      <c r="I18" s="50"/>
      <c r="J18" s="27">
        <f>'Data &amp; Forecasting '!S40/('Data &amp; Forecasting '!S40+'Data &amp; Forecasting '!Y40)</f>
        <v>0.17932688812967942</v>
      </c>
      <c r="K18" s="47">
        <f>'Data &amp; Forecasting '!S40/'Data &amp; Forecasting '!K40</f>
        <v>0.44756894049346879</v>
      </c>
      <c r="L18" s="47">
        <f>'Data &amp; Forecasting '!T40/'Data &amp; Forecasting '!K40</f>
        <v>-0.99165457184325112</v>
      </c>
      <c r="M18" s="47"/>
      <c r="N18" s="47">
        <f>'Data &amp; Forecasting '!K40/'Data &amp; Forecasting '!AE40</f>
        <v>74.993197278911566</v>
      </c>
      <c r="O18" s="47">
        <f>('Data &amp; Forecasting '!K40-'Data &amp; Forecasting '!AB40)/'Data &amp; Forecasting '!AE40</f>
        <v>55.564625850340136</v>
      </c>
      <c r="P18" s="47">
        <f>'Data &amp; Forecasting '!N40/'Data &amp; Forecasting '!AE40</f>
        <v>63.238095238095241</v>
      </c>
      <c r="Q18" s="25"/>
      <c r="R18" s="47" t="s">
        <v>165</v>
      </c>
      <c r="S18" s="47" t="s">
        <v>164</v>
      </c>
      <c r="T18" s="138"/>
      <c r="U18" s="47">
        <f>'Data &amp; Forecasting '!F40/'Data &amp; Forecasting '!K40</f>
        <v>19.640984760522496</v>
      </c>
      <c r="V18" s="47">
        <f>'Data &amp; Forecasting '!F40/'Data &amp; Forecasting '!N40</f>
        <v>23.291976764199656</v>
      </c>
      <c r="W18" s="47">
        <f>'Data &amp; Forecasting '!C40/'Data &amp; Forecasting '!V40</f>
        <v>28.59980082987552</v>
      </c>
      <c r="X18" s="47">
        <f>'Data &amp; Forecasting '!F40/'Data &amp; Forecasting '!H40</f>
        <v>3.6949814160651209</v>
      </c>
    </row>
    <row r="19" spans="1:24" x14ac:dyDescent="0.2">
      <c r="A19" s="22"/>
      <c r="B19" s="22"/>
      <c r="C19" s="48"/>
      <c r="D19" s="49"/>
      <c r="E19" s="22"/>
      <c r="F19" s="25"/>
      <c r="G19" s="25"/>
      <c r="H19" s="25"/>
      <c r="I19" s="18"/>
      <c r="J19" s="25"/>
      <c r="K19" s="47"/>
      <c r="L19" s="47"/>
      <c r="M19" s="47"/>
      <c r="N19" s="47"/>
      <c r="O19" s="47"/>
      <c r="P19" s="47"/>
      <c r="Q19" s="25"/>
      <c r="R19" s="47"/>
      <c r="S19" s="47"/>
    </row>
    <row r="20" spans="1:24" x14ac:dyDescent="0.2">
      <c r="A20" s="28" t="s">
        <v>19</v>
      </c>
      <c r="B20" s="28"/>
      <c r="C20" s="28"/>
      <c r="D20" s="51">
        <f>+AVERAGE(D14:D18)</f>
        <v>0.20600000000000002</v>
      </c>
      <c r="E20" s="29"/>
      <c r="F20" s="32">
        <f>+AVERAGE(F14:F18)</f>
        <v>0.25380384505204123</v>
      </c>
      <c r="G20" s="32">
        <f>+AVERAGE(G14:G18)</f>
        <v>0.20177683296392285</v>
      </c>
      <c r="H20" s="32">
        <f>+AVERAGE(H14:H18)</f>
        <v>5.6090138045845062E-2</v>
      </c>
      <c r="I20" s="32"/>
      <c r="J20" s="32">
        <f>+AVERAGE(J14:J18)</f>
        <v>0.32932996024966993</v>
      </c>
      <c r="K20" s="31">
        <f>+AVERAGE(K14:K18)</f>
        <v>1.4904644926176436</v>
      </c>
      <c r="L20" s="31">
        <f>+AVERAGE(L14:L18)</f>
        <v>0.26676255899355761</v>
      </c>
      <c r="M20" s="31"/>
      <c r="N20" s="31">
        <f>+AVERAGE(N14:N18)</f>
        <v>35.874458326075668</v>
      </c>
      <c r="O20" s="31">
        <f>+AVERAGE(O14:O18)</f>
        <v>21.681547673728677</v>
      </c>
      <c r="P20" s="31">
        <f>+AVERAGE(P14:P18)</f>
        <v>27.60400560093089</v>
      </c>
      <c r="Q20" s="31"/>
      <c r="R20" s="31"/>
      <c r="S20" s="52"/>
      <c r="T20" s="31"/>
      <c r="U20" s="140">
        <f>+AVERAGE(U14:U18)</f>
        <v>16.432383173054486</v>
      </c>
      <c r="V20" s="140">
        <f>+AVERAGE(V14:V18)</f>
        <v>22.043810188714701</v>
      </c>
      <c r="W20" s="140">
        <f>+AVERAGE(W14:W18)</f>
        <v>29.84558858355707</v>
      </c>
      <c r="X20" s="140">
        <f>+AVERAGE(X14:X18)</f>
        <v>2.5700799811691981</v>
      </c>
    </row>
    <row r="21" spans="1:24" x14ac:dyDescent="0.2">
      <c r="A21" s="28" t="s">
        <v>20</v>
      </c>
      <c r="B21" s="28"/>
      <c r="C21" s="28"/>
      <c r="D21" s="51">
        <f>MEDIAN(D14:D18)</f>
        <v>0.13</v>
      </c>
      <c r="E21" s="29"/>
      <c r="F21" s="32">
        <f>MEDIAN(F14:F18)</f>
        <v>0.15358662794143799</v>
      </c>
      <c r="G21" s="32">
        <f>MEDIAN(G14:G18)</f>
        <v>0.1727402194856329</v>
      </c>
      <c r="H21" s="32">
        <f>MEDIAN(H14:H18)</f>
        <v>5.0631896330510649E-2</v>
      </c>
      <c r="I21" s="32"/>
      <c r="J21" s="32">
        <f>MEDIAN(J14:J18)</f>
        <v>0.31952452131824327</v>
      </c>
      <c r="K21" s="31">
        <f>MEDIAN(K14:K18)</f>
        <v>1.6016461980663705</v>
      </c>
      <c r="L21" s="31">
        <f>MEDIAN(L14:L18)</f>
        <v>0.42814214789652472</v>
      </c>
      <c r="M21" s="31"/>
      <c r="N21" s="31">
        <f>MEDIAN(N14:N18)</f>
        <v>25.302083333333332</v>
      </c>
      <c r="O21" s="31">
        <f>MEDIAN(O14:O18)</f>
        <v>14.71875</v>
      </c>
      <c r="P21" s="31">
        <f>MEDIAN(P14:P18)</f>
        <v>18.25</v>
      </c>
      <c r="Q21" s="31"/>
      <c r="R21" s="31"/>
      <c r="S21" s="52"/>
      <c r="T21" s="31"/>
      <c r="U21" s="140">
        <f>MEDIAN(U14:U18)</f>
        <v>12.769188764044944</v>
      </c>
      <c r="V21" s="140">
        <f>MEDIAN(V14:V18)</f>
        <v>17.834921678832117</v>
      </c>
      <c r="W21" s="140">
        <f>MEDIAN(W14:W18)</f>
        <v>28.196528597014925</v>
      </c>
      <c r="X21" s="140">
        <f>MEDIAN(X14:X18)</f>
        <v>2.2076113751355257</v>
      </c>
    </row>
    <row r="22" spans="1:24" x14ac:dyDescent="0.2">
      <c r="A22" s="33"/>
      <c r="B22" s="33"/>
      <c r="C22" s="33"/>
      <c r="D22" s="42"/>
      <c r="E22" s="34"/>
      <c r="F22" s="36"/>
      <c r="G22" s="36"/>
      <c r="H22" s="36"/>
      <c r="I22" s="36"/>
      <c r="J22" s="36"/>
      <c r="K22" s="35"/>
      <c r="L22" s="35"/>
      <c r="M22" s="35"/>
      <c r="N22" s="35"/>
      <c r="O22" s="35"/>
      <c r="P22" s="35"/>
      <c r="Q22" s="35"/>
      <c r="R22" s="35"/>
      <c r="S22" s="53"/>
    </row>
    <row r="23" spans="1:24" x14ac:dyDescent="0.2">
      <c r="A23" s="26" t="s">
        <v>144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spans="1:24" x14ac:dyDescent="0.2">
      <c r="A24" s="22" t="s">
        <v>153</v>
      </c>
      <c r="B24" s="22" t="s">
        <v>152</v>
      </c>
      <c r="C24" s="48">
        <f>+'[1]CompCo 6'!$E$10</f>
        <v>43465</v>
      </c>
      <c r="D24" s="49">
        <v>0.2</v>
      </c>
      <c r="E24" s="22"/>
      <c r="F24" s="27">
        <f>('Data &amp; Forecasting '!N43*(1-'Data &amp; Forecasting '!AD43))/('Data &amp; Forecasting '!Y43+'Data &amp; Forecasting '!T43)</f>
        <v>0.26953511111111111</v>
      </c>
      <c r="G24" s="27">
        <f>'Data &amp; Forecasting '!Q43/'Data &amp; Forecasting '!Y43</f>
        <v>0.74646629965778899</v>
      </c>
      <c r="H24" s="27">
        <f>'Data &amp; Forecasting '!Q43/'Data &amp; Forecasting '!AA43</f>
        <v>8.3840240641711236E-2</v>
      </c>
      <c r="I24" s="50"/>
      <c r="J24" s="27">
        <f>'Data &amp; Forecasting '!S43/('Data &amp; Forecasting '!S43+'Data &amp; Forecasting '!Y43)</f>
        <v>0.76351993244431937</v>
      </c>
      <c r="K24" s="47">
        <f>'Data &amp; Forecasting '!S43/'Data &amp; Forecasting '!K43</f>
        <v>2.3040985347207474</v>
      </c>
      <c r="L24" s="47">
        <f>'Data &amp; Forecasting '!T43/'Data &amp; Forecasting '!K43</f>
        <v>1.8665321724357613</v>
      </c>
      <c r="M24" s="47"/>
      <c r="N24" s="47">
        <f>'Data &amp; Forecasting '!K43/'Data &amp; Forecasting '!AE43</f>
        <v>8.4239713774597487</v>
      </c>
      <c r="O24" s="47">
        <f>('Data &amp; Forecasting '!K43-'Data &amp; Forecasting '!AB43)/'Data &amp; Forecasting '!AE43</f>
        <v>6.9490161001788913</v>
      </c>
      <c r="P24" s="47">
        <f>'Data &amp; Forecasting '!N43/'Data &amp; Forecasting '!AE43</f>
        <v>6.9150268336314848</v>
      </c>
      <c r="Q24" s="25"/>
      <c r="R24" s="47" t="s">
        <v>160</v>
      </c>
      <c r="S24" s="47" t="s">
        <v>167</v>
      </c>
      <c r="T24" s="138"/>
      <c r="U24" s="47">
        <f>'Data &amp; Forecasting '!F43/'Data &amp; Forecasting '!K43</f>
        <v>13.954944038012316</v>
      </c>
      <c r="V24" s="47">
        <f>'Data &amp; Forecasting '!F43/'Data &amp; Forecasting '!N43</f>
        <v>17.000085752166601</v>
      </c>
      <c r="W24" s="47">
        <f>'Data &amp; Forecasting '!C43/'Data &amp; Forecasting '!V43</f>
        <v>22.692577825393659</v>
      </c>
      <c r="X24" s="47">
        <f>'Data &amp; Forecasting '!F43/'Data &amp; Forecasting '!H43</f>
        <v>1.7512480405873574</v>
      </c>
    </row>
    <row r="25" spans="1:24" x14ac:dyDescent="0.2">
      <c r="A25" s="22" t="s">
        <v>154</v>
      </c>
      <c r="B25" s="22" t="s">
        <v>152</v>
      </c>
      <c r="C25" s="48">
        <f>+'[1]CompCo 7'!$E$10</f>
        <v>43465</v>
      </c>
      <c r="D25" s="49">
        <v>0.01</v>
      </c>
      <c r="E25" s="22"/>
      <c r="F25" s="27">
        <f>('Data &amp; Forecasting '!N44*(1-'Data &amp; Forecasting '!AD44))/('Data &amp; Forecasting '!Y44+'Data &amp; Forecasting '!T44)</f>
        <v>0.13566051835380746</v>
      </c>
      <c r="G25" s="27">
        <f>'Data &amp; Forecasting '!Q44/'Data &amp; Forecasting '!Y44</f>
        <v>0.25080964375674702</v>
      </c>
      <c r="H25" s="27">
        <f>'Data &amp; Forecasting '!Q44/'Data &amp; Forecasting '!AA44</f>
        <v>8.1398291064094824E-2</v>
      </c>
      <c r="I25" s="50"/>
      <c r="J25" s="27">
        <f>'Data &amp; Forecasting '!S44/('Data &amp; Forecasting '!S44+'Data &amp; Forecasting '!Y44)</f>
        <v>0.50511975781319562</v>
      </c>
      <c r="K25" s="47">
        <f>'Data &amp; Forecasting '!S44/'Data &amp; Forecasting '!K44</f>
        <v>2.8445595854922279</v>
      </c>
      <c r="L25" s="47">
        <f>'Data &amp; Forecasting '!T44/'Data &amp; Forecasting '!K44</f>
        <v>1.7982617416012034</v>
      </c>
      <c r="M25" s="47"/>
      <c r="N25" s="47">
        <f>'Data &amp; Forecasting '!K44/'Data &amp; Forecasting '!AE44</f>
        <v>8.9969924812030069</v>
      </c>
      <c r="O25" s="47">
        <f>('Data &amp; Forecasting '!K44-'Data &amp; Forecasting '!AB44)/'Data &amp; Forecasting '!AE44</f>
        <v>6.8165413533834585</v>
      </c>
      <c r="P25" s="47">
        <f>'Data &amp; Forecasting '!N44/'Data &amp; Forecasting '!AE44</f>
        <v>6.7834586466165412</v>
      </c>
      <c r="Q25" s="25"/>
      <c r="R25" s="47" t="s">
        <v>168</v>
      </c>
      <c r="S25" s="47" t="s">
        <v>159</v>
      </c>
      <c r="T25" s="138"/>
      <c r="U25" s="47">
        <f>'Data &amp; Forecasting '!F44/'Data &amp; Forecasting '!K44</f>
        <v>15.4364116663881</v>
      </c>
      <c r="V25" s="47">
        <f>'Data &amp; Forecasting '!F44/'Data &amp; Forecasting '!N44</f>
        <v>20.473520505431171</v>
      </c>
      <c r="W25" s="47">
        <f>'Data &amp; Forecasting '!C44/'Data &amp; Forecasting '!V44</f>
        <v>19.511489956958393</v>
      </c>
      <c r="X25" s="47">
        <f>'Data &amp; Forecasting '!F44/'Data &amp; Forecasting '!H44</f>
        <v>2.2013646136244458</v>
      </c>
    </row>
    <row r="26" spans="1:24" x14ac:dyDescent="0.2">
      <c r="A26" s="22" t="s">
        <v>155</v>
      </c>
      <c r="B26" s="22" t="s">
        <v>152</v>
      </c>
      <c r="C26" s="48">
        <f>+'[1]CompCo 8'!$E$10</f>
        <v>43465</v>
      </c>
      <c r="D26" s="49">
        <v>0.37</v>
      </c>
      <c r="E26" s="22"/>
      <c r="F26" s="27">
        <f>('Data &amp; Forecasting '!N45*(1-'Data &amp; Forecasting '!AD45))/('Data &amp; Forecasting '!Y45+'Data &amp; Forecasting '!T45)</f>
        <v>0.11583962686090346</v>
      </c>
      <c r="G26" s="27">
        <f>'Data &amp; Forecasting '!Q45/'Data &amp; Forecasting '!Y45</f>
        <v>0.16431191944422763</v>
      </c>
      <c r="H26" s="27">
        <f>'Data &amp; Forecasting '!Q45/'Data &amp; Forecasting '!AA45</f>
        <v>7.3538402417509474E-2</v>
      </c>
      <c r="I26" s="50"/>
      <c r="J26" s="27">
        <f>'Data &amp; Forecasting '!S45/('Data &amp; Forecasting '!S45+'Data &amp; Forecasting '!Y45)</f>
        <v>0.27643952444155773</v>
      </c>
      <c r="K26" s="47">
        <f>'Data &amp; Forecasting '!S45/'Data &amp; Forecasting '!K45</f>
        <v>1.5587579617834395</v>
      </c>
      <c r="L26" s="47">
        <f>'Data &amp; Forecasting '!T45/'Data &amp; Forecasting '!K45</f>
        <v>0.90445859872611467</v>
      </c>
      <c r="M26" s="47"/>
      <c r="N26" s="47">
        <f>'Data &amp; Forecasting '!K45/'Data &amp; Forecasting '!AE45</f>
        <v>15.621890547263682</v>
      </c>
      <c r="O26" s="47">
        <f>('Data &amp; Forecasting '!K45-'Data &amp; Forecasting '!AB45)/'Data &amp; Forecasting '!AE45</f>
        <v>12.733830845771145</v>
      </c>
      <c r="P26" s="47">
        <f>'Data &amp; Forecasting '!N45/'Data &amp; Forecasting '!AE45</f>
        <v>13.323383084577115</v>
      </c>
      <c r="Q26" s="25"/>
      <c r="R26" s="47" t="s">
        <v>160</v>
      </c>
      <c r="S26" s="47" t="s">
        <v>161</v>
      </c>
      <c r="T26" s="138"/>
      <c r="U26" s="47">
        <f>'Data &amp; Forecasting '!F45/'Data &amp; Forecasting '!K45</f>
        <v>15.589267592356689</v>
      </c>
      <c r="V26" s="47">
        <f>'Data &amp; Forecasting '!F45/'Data &amp; Forecasting '!N45</f>
        <v>18.278678207617627</v>
      </c>
      <c r="W26" s="47">
        <f>'Data &amp; Forecasting '!C45/'Data &amp; Forecasting '!V45</f>
        <v>21.90513075534442</v>
      </c>
      <c r="X26" s="47">
        <f>'Data &amp; Forecasting '!F45/'Data &amp; Forecasting '!H45</f>
        <v>1.8629990576593722</v>
      </c>
    </row>
    <row r="27" spans="1:24" x14ac:dyDescent="0.2">
      <c r="A27" s="22" t="s">
        <v>156</v>
      </c>
      <c r="B27" s="22" t="s">
        <v>119</v>
      </c>
      <c r="C27" s="48">
        <f>+'[1]CompCo 10'!$E$10</f>
        <v>43465</v>
      </c>
      <c r="D27" s="49">
        <v>0.92</v>
      </c>
      <c r="E27" s="22"/>
      <c r="F27" s="27">
        <f>('Data &amp; Forecasting '!N46*(1-'Data &amp; Forecasting '!AD46))/('Data &amp; Forecasting '!Y46+'Data &amp; Forecasting '!T46)</f>
        <v>0.32056261682242987</v>
      </c>
      <c r="G27" s="27">
        <f>'Data &amp; Forecasting '!Q46/'Data &amp; Forecasting '!Y46</f>
        <v>0.48365792843183503</v>
      </c>
      <c r="H27" s="27">
        <f>'Data &amp; Forecasting '!Q46/'Data &amp; Forecasting '!AA46</f>
        <v>0.11610638366713043</v>
      </c>
      <c r="I27" s="50"/>
      <c r="J27" s="27">
        <f>'Data &amp; Forecasting '!S46/('Data &amp; Forecasting '!S46+'Data &amp; Forecasting '!Y46)</f>
        <v>0.2640845070422535</v>
      </c>
      <c r="K27" s="47">
        <f>'Data &amp; Forecasting '!S46/'Data &amp; Forecasting '!K46</f>
        <v>0.75908766928011406</v>
      </c>
      <c r="L27" s="47">
        <f>'Data &amp; Forecasting '!T46/'Data &amp; Forecasting '!K46</f>
        <v>-0.20869565217391303</v>
      </c>
      <c r="M27" s="47"/>
      <c r="N27" s="47">
        <f>'Data &amp; Forecasting '!K46/'Data &amp; Forecasting '!AE46</f>
        <v>51.962962962962962</v>
      </c>
      <c r="O27" s="47">
        <f>('Data &amp; Forecasting '!K46-'Data &amp; Forecasting '!AB46)/'Data &amp; Forecasting '!AE46</f>
        <v>38.629629629629626</v>
      </c>
      <c r="P27" s="47">
        <f>'Data &amp; Forecasting '!N46/'Data &amp; Forecasting '!AE46</f>
        <v>38.496296296296293</v>
      </c>
      <c r="Q27" s="25"/>
      <c r="R27" s="47" t="s">
        <v>167</v>
      </c>
      <c r="S27" s="47" t="str">
        <f>+'[1]CompCo 10'!$E$12</f>
        <v>NA</v>
      </c>
      <c r="T27" s="138"/>
      <c r="U27" s="47">
        <f>'Data &amp; Forecasting '!F46/'Data &amp; Forecasting '!K46</f>
        <v>17.471193813257305</v>
      </c>
      <c r="V27" s="47">
        <f>'Data &amp; Forecasting '!F46/'Data &amp; Forecasting '!N46</f>
        <v>23.582917952664996</v>
      </c>
      <c r="W27" s="47">
        <f>'Data &amp; Forecasting '!C46/'Data &amp; Forecasting '!V46</f>
        <v>17.280817138079978</v>
      </c>
      <c r="X27" s="47">
        <f>'Data &amp; Forecasting '!F46/'Data &amp; Forecasting '!H46</f>
        <v>3.9120439401193776</v>
      </c>
    </row>
    <row r="28" spans="1:24" x14ac:dyDescent="0.2">
      <c r="A28" s="22" t="s">
        <v>157</v>
      </c>
      <c r="B28" s="22" t="s">
        <v>126</v>
      </c>
      <c r="C28" s="48">
        <f>+'[1]CompCo 9'!$E$10</f>
        <v>43465</v>
      </c>
      <c r="D28" s="49">
        <v>1.1599999999999999</v>
      </c>
      <c r="E28" s="22"/>
      <c r="F28" s="27">
        <f>('Data &amp; Forecasting '!N47*(1-'Data &amp; Forecasting '!AD47))/('Data &amp; Forecasting '!Y47+'Data &amp; Forecasting '!T47)</f>
        <v>2.9414772956609485</v>
      </c>
      <c r="G28" s="27">
        <f>'Data &amp; Forecasting '!Q47/'Data &amp; Forecasting '!Y47</f>
        <v>2.1216854340719213</v>
      </c>
      <c r="H28" s="27">
        <f>'Data &amp; Forecasting '!Q47/'Data &amp; Forecasting '!AA47</f>
        <v>0.15324675324675324</v>
      </c>
      <c r="I28" s="50"/>
      <c r="J28" s="27">
        <f>'Data &amp; Forecasting '!S47/('Data &amp; Forecasting '!S47+'Data &amp; Forecasting '!Y47)</f>
        <v>0.60811387900355873</v>
      </c>
      <c r="K28" s="47">
        <f>'Data &amp; Forecasting '!S47/'Data &amp; Forecasting '!K47</f>
        <v>0.97936726272352137</v>
      </c>
      <c r="L28" s="47">
        <f>'Data &amp; Forecasting '!T47/'Data &amp; Forecasting '!K47</f>
        <v>-0.40394314534617148</v>
      </c>
      <c r="M28" s="47"/>
      <c r="N28" s="47">
        <f>'Data &amp; Forecasting '!K47/'Data &amp; Forecasting '!AE47</f>
        <v>14.443708609271523</v>
      </c>
      <c r="O28" s="47">
        <f>('Data &amp; Forecasting '!K47-'Data &amp; Forecasting '!AB47)/'Data &amp; Forecasting '!AE47</f>
        <v>11.182119205298013</v>
      </c>
      <c r="P28" s="47">
        <f>'Data &amp; Forecasting '!N47/'Data &amp; Forecasting '!AE47</f>
        <v>11.463576158940397</v>
      </c>
      <c r="Q28" s="25"/>
      <c r="R28" s="47" t="s">
        <v>158</v>
      </c>
      <c r="S28" s="47" t="s">
        <v>166</v>
      </c>
      <c r="T28" s="138"/>
      <c r="U28" s="47">
        <f>'Data &amp; Forecasting '!F47/'Data &amp; Forecasting '!K47</f>
        <v>30.00535534158643</v>
      </c>
      <c r="V28" s="47">
        <f>'Data &amp; Forecasting '!F47/'Data &amp; Forecasting '!N47</f>
        <v>37.805707683419996</v>
      </c>
      <c r="W28" s="47">
        <f>'Data &amp; Forecasting '!C47/'Data &amp; Forecasting '!V47</f>
        <v>22.709357986646122</v>
      </c>
      <c r="X28" s="47">
        <f>'Data &amp; Forecasting '!F47/'Data &amp; Forecasting '!H47</f>
        <v>6.5249194875118413</v>
      </c>
    </row>
    <row r="29" spans="1:24" x14ac:dyDescent="0.2">
      <c r="A29" s="22"/>
      <c r="B29" s="22"/>
      <c r="C29" s="48"/>
      <c r="D29" s="49"/>
      <c r="E29" s="22"/>
      <c r="F29" s="25"/>
      <c r="G29" s="25"/>
      <c r="H29" s="25"/>
      <c r="I29" s="18"/>
      <c r="J29" s="25"/>
      <c r="K29" s="47"/>
      <c r="L29" s="47"/>
      <c r="M29" s="47"/>
      <c r="N29" s="47"/>
      <c r="O29" s="47"/>
      <c r="P29" s="47"/>
      <c r="Q29" s="25"/>
      <c r="R29" s="47"/>
      <c r="S29" s="47"/>
      <c r="T29" s="138"/>
      <c r="U29" s="138"/>
      <c r="V29" s="138"/>
      <c r="W29" s="138"/>
      <c r="X29" s="138"/>
    </row>
    <row r="30" spans="1:24" x14ac:dyDescent="0.2">
      <c r="A30" s="28" t="s">
        <v>19</v>
      </c>
      <c r="B30" s="28"/>
      <c r="C30" s="28"/>
      <c r="D30" s="51">
        <f>+AVERAGE(D24:D28)</f>
        <v>0.53200000000000003</v>
      </c>
      <c r="E30" s="29"/>
      <c r="F30" s="32">
        <f>+AVERAGE(F24:F28)</f>
        <v>0.75661503376184014</v>
      </c>
      <c r="G30" s="32">
        <f>+AVERAGE(G24:G28)</f>
        <v>0.75338624507250396</v>
      </c>
      <c r="H30" s="32">
        <f>+AVERAGE(H24:H28)</f>
        <v>0.10162601420743984</v>
      </c>
      <c r="I30" s="32"/>
      <c r="J30" s="32">
        <f>+AVERAGE(J24:J28)</f>
        <v>0.48345552014897697</v>
      </c>
      <c r="K30" s="31">
        <f>+AVERAGE(K24:K28)</f>
        <v>1.6891742028000098</v>
      </c>
      <c r="L30" s="31">
        <f>+AVERAGE(L24:L28)</f>
        <v>0.79132274304859906</v>
      </c>
      <c r="M30" s="31"/>
      <c r="N30" s="31">
        <f>+AVERAGE(N24:N28)</f>
        <v>19.889905195632185</v>
      </c>
      <c r="O30" s="31">
        <f>+AVERAGE(O24:O28)</f>
        <v>15.262227426852226</v>
      </c>
      <c r="P30" s="31">
        <f>+AVERAGE(P24:P28)</f>
        <v>15.396348204012366</v>
      </c>
      <c r="Q30" s="31"/>
      <c r="R30" s="31"/>
      <c r="S30" s="52"/>
      <c r="T30" s="52"/>
      <c r="U30" s="31">
        <f>+AVERAGE(U24:U28)</f>
        <v>18.49143449032017</v>
      </c>
      <c r="V30" s="31">
        <f>+AVERAGE(V24:V28)</f>
        <v>23.428182020260078</v>
      </c>
      <c r="W30" s="31">
        <f>+AVERAGE(W24:W28)</f>
        <v>20.819874732484514</v>
      </c>
      <c r="X30" s="31">
        <f>+AVERAGE(X24:X28)</f>
        <v>3.2505150279004789</v>
      </c>
    </row>
    <row r="31" spans="1:24" x14ac:dyDescent="0.2">
      <c r="A31" s="28" t="s">
        <v>20</v>
      </c>
      <c r="B31" s="28"/>
      <c r="C31" s="28"/>
      <c r="D31" s="51">
        <f>MEDIAN(D24:D28)</f>
        <v>0.37</v>
      </c>
      <c r="E31" s="29"/>
      <c r="F31" s="32">
        <f>MEDIAN(F24:F28)</f>
        <v>0.26953511111111111</v>
      </c>
      <c r="G31" s="32">
        <f>MEDIAN(G24:G28)</f>
        <v>0.48365792843183503</v>
      </c>
      <c r="H31" s="32">
        <f>MEDIAN(H24:H28)</f>
        <v>8.3840240641711236E-2</v>
      </c>
      <c r="I31" s="32"/>
      <c r="J31" s="32">
        <f>MEDIAN(J24:J28)</f>
        <v>0.50511975781319562</v>
      </c>
      <c r="K31" s="31">
        <f>MEDIAN(K24:K28)</f>
        <v>1.5587579617834395</v>
      </c>
      <c r="L31" s="31">
        <f>MEDIAN(L24:L28)</f>
        <v>0.90445859872611467</v>
      </c>
      <c r="M31" s="31"/>
      <c r="N31" s="31">
        <f>MEDIAN(N24:N28)</f>
        <v>14.443708609271523</v>
      </c>
      <c r="O31" s="31">
        <f>MEDIAN(O24:O28)</f>
        <v>11.182119205298013</v>
      </c>
      <c r="P31" s="31">
        <f>MEDIAN(P24:P28)</f>
        <v>11.463576158940397</v>
      </c>
      <c r="Q31" s="31"/>
      <c r="R31" s="31"/>
      <c r="S31" s="52"/>
      <c r="T31" s="52"/>
      <c r="U31" s="31">
        <f>MEDIAN(U24:U28)</f>
        <v>15.589267592356689</v>
      </c>
      <c r="V31" s="31">
        <f>MEDIAN(V24:V28)</f>
        <v>20.473520505431171</v>
      </c>
      <c r="W31" s="31">
        <f>MEDIAN(W24:W28)</f>
        <v>21.90513075534442</v>
      </c>
      <c r="X31" s="31">
        <f>MEDIAN(X24:X28)</f>
        <v>2.2013646136244458</v>
      </c>
    </row>
    <row r="32" spans="1:24" x14ac:dyDescent="0.2">
      <c r="A32" s="33"/>
      <c r="B32" s="33"/>
      <c r="C32" s="33"/>
      <c r="D32" s="42"/>
      <c r="E32" s="34"/>
      <c r="F32" s="36"/>
      <c r="G32" s="36"/>
      <c r="H32" s="36"/>
      <c r="I32" s="36"/>
      <c r="J32" s="36"/>
      <c r="K32" s="35"/>
      <c r="L32" s="35"/>
      <c r="M32" s="35"/>
      <c r="N32" s="35"/>
      <c r="O32" s="35"/>
      <c r="P32" s="35"/>
      <c r="Q32" s="35"/>
      <c r="R32" s="35"/>
      <c r="S32" s="53"/>
    </row>
    <row r="33" spans="1:24" x14ac:dyDescent="0.2">
      <c r="A33" s="26" t="s">
        <v>21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 spans="1:24" x14ac:dyDescent="0.2">
      <c r="A34" s="22"/>
      <c r="B34" s="22"/>
      <c r="C34" s="37"/>
      <c r="D34" s="42"/>
      <c r="E34" s="34"/>
      <c r="F34" s="53"/>
      <c r="G34" s="53"/>
      <c r="H34" s="53"/>
      <c r="I34" s="35"/>
      <c r="J34" s="53"/>
      <c r="K34" s="35"/>
      <c r="L34" s="35"/>
      <c r="M34" s="35"/>
      <c r="N34" s="35"/>
      <c r="O34" s="35"/>
      <c r="P34" s="35"/>
      <c r="Q34" s="35"/>
      <c r="R34" s="35"/>
      <c r="S34" s="53"/>
    </row>
    <row r="35" spans="1:24" x14ac:dyDescent="0.2">
      <c r="A35" s="28" t="s">
        <v>19</v>
      </c>
      <c r="B35" s="28"/>
      <c r="C35" s="28"/>
      <c r="D35" s="51">
        <f>+AVERAGE(D14:D18,D24:D28)</f>
        <v>0.36899999999999994</v>
      </c>
      <c r="E35" s="29"/>
      <c r="F35" s="32">
        <f>+AVERAGE(F14:F18,F24:F28)</f>
        <v>0.50520943940694063</v>
      </c>
      <c r="G35" s="32">
        <f t="shared" ref="G35:H36" si="0">+AVERAGE(G14:G18,G24:G28)</f>
        <v>0.47758153901821332</v>
      </c>
      <c r="H35" s="32">
        <f t="shared" si="0"/>
        <v>7.885807612664246E-2</v>
      </c>
      <c r="I35" s="32"/>
      <c r="J35" s="32">
        <f>+AVERAGE(J14:J18,J24:J28)</f>
        <v>0.40639274019932348</v>
      </c>
      <c r="K35" s="31">
        <f>+AVERAGE(K14:K18,K24:K28)</f>
        <v>1.5898193477088267</v>
      </c>
      <c r="L35" s="31">
        <f>+AVERAGE(L14:L18,L24:L28)</f>
        <v>0.52904265102107839</v>
      </c>
      <c r="M35" s="31"/>
      <c r="N35" s="31">
        <f>+AVERAGE(N14:N18,N24:N28)</f>
        <v>27.882181760853928</v>
      </c>
      <c r="O35" s="31">
        <f t="shared" ref="O35:P35" si="1">+AVERAGE(O14:O18,O24:O28)</f>
        <v>18.471887550290454</v>
      </c>
      <c r="P35" s="31">
        <f t="shared" si="1"/>
        <v>21.500176902471626</v>
      </c>
      <c r="Q35" s="54"/>
      <c r="R35" s="54"/>
      <c r="S35" s="55"/>
      <c r="T35" s="60"/>
      <c r="U35" s="31">
        <f>+AVERAGE(U14:U18,U24:U28)</f>
        <v>17.461908831687328</v>
      </c>
      <c r="V35" s="31">
        <f>+AVERAGE(V14:V18,V24:V28)</f>
        <v>22.735996104487388</v>
      </c>
      <c r="W35" s="31">
        <f t="shared" ref="W35:X35" si="2">+AVERAGE(W14:W18,W24:W28)</f>
        <v>25.332731658020798</v>
      </c>
      <c r="X35" s="31">
        <f t="shared" si="2"/>
        <v>2.9102975045348387</v>
      </c>
    </row>
    <row r="36" spans="1:24" x14ac:dyDescent="0.2">
      <c r="A36" s="28" t="s">
        <v>20</v>
      </c>
      <c r="B36" s="28"/>
      <c r="C36" s="28"/>
      <c r="D36" s="51">
        <f>+AVERAGE(D14:D18,D24:D28)</f>
        <v>0.36899999999999994</v>
      </c>
      <c r="E36" s="29"/>
      <c r="F36" s="32">
        <f>+AVERAGE(F14:F18,F24:F28)</f>
        <v>0.50520943940694063</v>
      </c>
      <c r="G36" s="32">
        <f>+AVERAGE(G14:G18,G24:G28)</f>
        <v>0.47758153901821332</v>
      </c>
      <c r="H36" s="32">
        <f>+AVERAGE(H14:H18,H24:H28)</f>
        <v>7.885807612664246E-2</v>
      </c>
      <c r="I36" s="32"/>
      <c r="J36" s="32">
        <f>+MEDIAN(J14:J18,J24:J28)</f>
        <v>0.37714816807992713</v>
      </c>
      <c r="K36" s="31">
        <f>+MEDIAN(K14:K18,K24:K28)</f>
        <v>1.580202079924905</v>
      </c>
      <c r="L36" s="31">
        <f>+MEDIAN(L14:L18,L24:L28)</f>
        <v>0.48154265233902643</v>
      </c>
      <c r="M36" s="31"/>
      <c r="N36" s="31">
        <f>+MEDIAN(N14:N18,N24:N28)</f>
        <v>15.032799578267603</v>
      </c>
      <c r="O36" s="31">
        <f>+MEDIAN(O14:O18,O24:O28)</f>
        <v>11.95797502553458</v>
      </c>
      <c r="P36" s="31">
        <f>+MEDIAN(P14:P18,P24:P28)</f>
        <v>12.393479621758756</v>
      </c>
      <c r="Q36" s="54"/>
      <c r="R36" s="54"/>
      <c r="S36" s="55"/>
      <c r="T36" s="60"/>
      <c r="U36" s="31">
        <f>+MEDIAN(U14:U18,U24:U28)</f>
        <v>15.512839629372394</v>
      </c>
      <c r="V36" s="31">
        <f>+MEDIAN(V14:V18,V24:V28)</f>
        <v>19.376099356524399</v>
      </c>
      <c r="W36" s="31">
        <f>+MEDIAN(W14:W18,W24:W28)</f>
        <v>22.920532914891687</v>
      </c>
      <c r="X36" s="31">
        <f>+MEDIAN(X14:X18,X24:X28)</f>
        <v>2.2044879943799858</v>
      </c>
    </row>
    <row r="37" spans="1:24" x14ac:dyDescent="0.2">
      <c r="A37" s="33"/>
      <c r="B37" s="33"/>
      <c r="C37" s="33"/>
      <c r="D37" s="42"/>
      <c r="E37" s="34"/>
      <c r="F37" s="36"/>
      <c r="G37" s="36"/>
      <c r="H37" s="36"/>
      <c r="I37" s="36"/>
      <c r="J37" s="36"/>
      <c r="K37" s="35"/>
      <c r="L37" s="35"/>
      <c r="M37" s="35"/>
      <c r="N37" s="35"/>
      <c r="O37" s="35"/>
      <c r="P37" s="35"/>
      <c r="Q37" s="35"/>
      <c r="R37" s="35"/>
      <c r="S37" s="53"/>
      <c r="U37" s="35"/>
      <c r="V37" s="35"/>
      <c r="W37" s="35"/>
      <c r="X37" s="35"/>
    </row>
    <row r="38" spans="1:24" x14ac:dyDescent="0.2">
      <c r="A38" s="28" t="s">
        <v>22</v>
      </c>
      <c r="B38" s="28"/>
      <c r="C38" s="28"/>
      <c r="D38" s="51">
        <f>+MAX(D14:D18,D24:D28)</f>
        <v>1.1599999999999999</v>
      </c>
      <c r="E38" s="29"/>
      <c r="F38" s="32">
        <f>+MAX(F14:F18,F24:F28)</f>
        <v>2.9414772956609485</v>
      </c>
      <c r="G38" s="32">
        <f>+MAX(G14:G18,G24:G28)</f>
        <v>2.1216854340719213</v>
      </c>
      <c r="H38" s="32">
        <f>+MAX(H14:H18,H24:H28)</f>
        <v>0.15324675324675324</v>
      </c>
      <c r="I38" s="32"/>
      <c r="J38" s="32">
        <f>+MAX(J14:J18,J24:J28)</f>
        <v>0.76351993244431937</v>
      </c>
      <c r="K38" s="31">
        <f>+MAX(K14:K18,K24:K28)</f>
        <v>2.8445595854922279</v>
      </c>
      <c r="L38" s="31">
        <f>+MAX(L14:L18,L24:L28)</f>
        <v>1.8665321724357613</v>
      </c>
      <c r="M38" s="31"/>
      <c r="N38" s="31">
        <f>+MAX(N14:N18,N24:N28)</f>
        <v>74.993197278911566</v>
      </c>
      <c r="O38" s="31">
        <f>+MAX(O14:O18,O24:O28)</f>
        <v>55.564625850340136</v>
      </c>
      <c r="P38" s="31">
        <f>+MAX(P14:P18,P24:P28)</f>
        <v>63.238095238095241</v>
      </c>
      <c r="Q38" s="54"/>
      <c r="R38" s="54"/>
      <c r="S38" s="55"/>
      <c r="T38" s="60"/>
      <c r="U38" s="31">
        <f>+MAX(U14:U18,U24:U28)</f>
        <v>30.00535534158643</v>
      </c>
      <c r="V38" s="31">
        <f>+MAX(V14:V18,V24:V28)</f>
        <v>37.805707683419996</v>
      </c>
      <c r="W38" s="31">
        <f>+MAX(W14:W18,W24:W28)</f>
        <v>45.111059866962314</v>
      </c>
      <c r="X38" s="31">
        <f>+MAX(X14:X18,X24:X28)</f>
        <v>6.5249194875118413</v>
      </c>
    </row>
    <row r="39" spans="1:24" x14ac:dyDescent="0.2">
      <c r="A39" s="28" t="s">
        <v>23</v>
      </c>
      <c r="B39" s="28"/>
      <c r="C39" s="28"/>
      <c r="D39" s="51">
        <f>+MAX(D14:D18,D24:D28)</f>
        <v>1.1599999999999999</v>
      </c>
      <c r="E39" s="29"/>
      <c r="F39" s="32">
        <f>+MIN(F14:F18,F24:F28)</f>
        <v>0.11583962686090346</v>
      </c>
      <c r="G39" s="32">
        <f>+MIN(G14:G18,G24:G28)</f>
        <v>0.12803347280334729</v>
      </c>
      <c r="H39" s="32">
        <f>+MIN(H14:H18,H24:H28)</f>
        <v>3.5469008084847431E-2</v>
      </c>
      <c r="I39" s="32"/>
      <c r="J39" s="32">
        <f>+MIN(J14:J18,J24:J28)</f>
        <v>0.17932688812967942</v>
      </c>
      <c r="K39" s="31">
        <f>+MIN(K14:K18,K24:K28)</f>
        <v>0.44756894049346879</v>
      </c>
      <c r="L39" s="31">
        <f>+MIN(L14:L18,L24:L28)</f>
        <v>-0.99165457184325112</v>
      </c>
      <c r="M39" s="31"/>
      <c r="N39" s="31">
        <f>+MIN(N14:N18,N24:N28)</f>
        <v>8.4239713774597487</v>
      </c>
      <c r="O39" s="31">
        <f>+MIN(O14:O18,O24:O28)</f>
        <v>6.7301587301587302</v>
      </c>
      <c r="P39" s="31">
        <f>+MIN(P14:P18,P24:P28)</f>
        <v>6.5912698412698409</v>
      </c>
      <c r="Q39" s="54"/>
      <c r="R39" s="54"/>
      <c r="S39" s="55"/>
      <c r="T39" s="60"/>
      <c r="U39" s="31">
        <f>+MIN(U14:U18,U24:U28)</f>
        <v>11.921041745574311</v>
      </c>
      <c r="V39" s="31">
        <f>+MIN(V14:V18,V24:V28)</f>
        <v>16.499518362432269</v>
      </c>
      <c r="W39" s="31">
        <f>+MIN(W14:W18,W24:W28)</f>
        <v>17.280817138079978</v>
      </c>
      <c r="X39" s="31">
        <f>+MIN(X14:X18,X24:X28)</f>
        <v>1.4847054504435215</v>
      </c>
    </row>
    <row r="40" spans="1:24" x14ac:dyDescent="0.2">
      <c r="A40" s="56"/>
      <c r="B40" s="57"/>
      <c r="C40" s="57"/>
      <c r="D40" s="57"/>
      <c r="E40" s="57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9"/>
      <c r="S40" s="5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6068-1C63-314C-8A41-0314DEA57778}">
  <dimension ref="A1:X40"/>
  <sheetViews>
    <sheetView showGridLines="0" zoomScale="117" workbookViewId="0">
      <selection activeCell="A3" sqref="A3"/>
    </sheetView>
  </sheetViews>
  <sheetFormatPr baseColWidth="10" defaultRowHeight="16" x14ac:dyDescent="0.2"/>
  <cols>
    <col min="1" max="1" width="34.6640625" customWidth="1"/>
  </cols>
  <sheetData>
    <row r="1" spans="1:24" ht="25" x14ac:dyDescent="0.25">
      <c r="A1" s="1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x14ac:dyDescent="0.2">
      <c r="A2" s="4" t="s">
        <v>253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24" x14ac:dyDescent="0.2">
      <c r="A5" s="9"/>
      <c r="B5" s="9"/>
      <c r="C5" s="9"/>
      <c r="D5" s="9"/>
      <c r="E5" s="9"/>
      <c r="F5" s="12"/>
      <c r="G5" s="12"/>
      <c r="H5" s="12"/>
      <c r="I5" s="9"/>
      <c r="J5" s="12"/>
      <c r="K5" s="12"/>
      <c r="L5" s="12"/>
      <c r="M5" s="12"/>
      <c r="N5" s="12"/>
      <c r="O5" s="12"/>
      <c r="P5" s="12"/>
      <c r="Q5" s="12"/>
      <c r="R5" s="9"/>
      <c r="S5" s="12"/>
    </row>
    <row r="6" spans="1:24" x14ac:dyDescent="0.2">
      <c r="A6" s="9"/>
      <c r="B6" s="9"/>
      <c r="C6" s="10" t="s">
        <v>26</v>
      </c>
      <c r="D6" s="10"/>
      <c r="E6" s="9"/>
      <c r="F6" s="10" t="s">
        <v>169</v>
      </c>
      <c r="G6" s="10"/>
      <c r="H6" s="10"/>
      <c r="I6" s="9"/>
      <c r="J6" s="10" t="s">
        <v>51</v>
      </c>
      <c r="K6" s="10"/>
      <c r="L6" s="10"/>
      <c r="M6" s="12"/>
      <c r="N6" s="10" t="s">
        <v>52</v>
      </c>
      <c r="O6" s="10"/>
      <c r="P6" s="10"/>
      <c r="Q6" s="39"/>
      <c r="R6" s="10" t="s">
        <v>30</v>
      </c>
      <c r="S6" s="10"/>
      <c r="U6" s="10" t="s">
        <v>53</v>
      </c>
      <c r="V6" s="10"/>
      <c r="W6" s="10"/>
      <c r="X6" s="10"/>
    </row>
    <row r="7" spans="1:24" x14ac:dyDescent="0.2">
      <c r="A7" s="12"/>
      <c r="B7" s="12"/>
      <c r="C7" s="12"/>
      <c r="D7" s="11"/>
      <c r="E7" s="12"/>
      <c r="F7" s="11"/>
      <c r="G7" s="11"/>
      <c r="H7" s="11"/>
      <c r="I7" s="12"/>
      <c r="J7" s="11" t="s">
        <v>31</v>
      </c>
      <c r="K7" s="11" t="s">
        <v>32</v>
      </c>
      <c r="L7" s="11" t="s">
        <v>33</v>
      </c>
      <c r="M7" s="11"/>
      <c r="N7" s="11" t="s">
        <v>34</v>
      </c>
      <c r="O7" s="11" t="s">
        <v>6</v>
      </c>
      <c r="P7" s="11" t="s">
        <v>35</v>
      </c>
      <c r="Q7" s="11"/>
      <c r="R7" s="11"/>
      <c r="S7" s="12"/>
      <c r="U7" s="150" t="s">
        <v>49</v>
      </c>
      <c r="V7" s="150" t="s">
        <v>49</v>
      </c>
      <c r="W7" s="150" t="s">
        <v>50</v>
      </c>
      <c r="X7" s="150" t="s">
        <v>49</v>
      </c>
    </row>
    <row r="8" spans="1:24" x14ac:dyDescent="0.2">
      <c r="A8" s="12"/>
      <c r="B8" s="12"/>
      <c r="C8" s="11"/>
      <c r="D8" s="11" t="s">
        <v>36</v>
      </c>
      <c r="E8" s="12"/>
      <c r="F8" s="11" t="s">
        <v>37</v>
      </c>
      <c r="G8" s="11" t="s">
        <v>38</v>
      </c>
      <c r="H8" s="11" t="s">
        <v>39</v>
      </c>
      <c r="I8" s="12"/>
      <c r="J8" s="11" t="s">
        <v>40</v>
      </c>
      <c r="K8" s="11" t="s">
        <v>6</v>
      </c>
      <c r="L8" s="11" t="s">
        <v>6</v>
      </c>
      <c r="M8" s="11"/>
      <c r="N8" s="11" t="s">
        <v>41</v>
      </c>
      <c r="O8" s="40" t="s">
        <v>42</v>
      </c>
      <c r="P8" s="11" t="s">
        <v>41</v>
      </c>
      <c r="Q8" s="11"/>
      <c r="R8" s="11"/>
      <c r="S8" s="11"/>
      <c r="U8" s="150" t="s">
        <v>6</v>
      </c>
      <c r="V8" s="150" t="s">
        <v>10</v>
      </c>
      <c r="W8" s="150"/>
      <c r="X8" s="150" t="s">
        <v>5</v>
      </c>
    </row>
    <row r="9" spans="1:24" x14ac:dyDescent="0.2">
      <c r="A9" s="15" t="s">
        <v>14</v>
      </c>
      <c r="B9" s="16" t="s">
        <v>15</v>
      </c>
      <c r="C9" s="17" t="s">
        <v>43</v>
      </c>
      <c r="D9" s="17" t="s">
        <v>44</v>
      </c>
      <c r="E9" s="14"/>
      <c r="F9" s="17" t="s">
        <v>17</v>
      </c>
      <c r="G9" s="17" t="s">
        <v>17</v>
      </c>
      <c r="H9" s="17" t="s">
        <v>17</v>
      </c>
      <c r="I9" s="12"/>
      <c r="J9" s="17" t="s">
        <v>17</v>
      </c>
      <c r="K9" s="17" t="s">
        <v>45</v>
      </c>
      <c r="L9" s="17" t="s">
        <v>45</v>
      </c>
      <c r="M9" s="11"/>
      <c r="N9" s="17" t="s">
        <v>45</v>
      </c>
      <c r="O9" s="17" t="s">
        <v>45</v>
      </c>
      <c r="P9" s="17" t="s">
        <v>45</v>
      </c>
      <c r="Q9" s="11"/>
      <c r="R9" s="17" t="s">
        <v>46</v>
      </c>
      <c r="S9" s="17" t="s">
        <v>47</v>
      </c>
      <c r="U9" s="17" t="s">
        <v>45</v>
      </c>
      <c r="V9" s="17" t="s">
        <v>45</v>
      </c>
      <c r="W9" s="17" t="s">
        <v>45</v>
      </c>
      <c r="X9" s="17" t="s">
        <v>45</v>
      </c>
    </row>
    <row r="10" spans="1:24" x14ac:dyDescent="0.2">
      <c r="A10" s="9"/>
      <c r="B10" s="14"/>
      <c r="C10" s="14"/>
      <c r="D10" s="14"/>
      <c r="E10" s="14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24" x14ac:dyDescent="0.2">
      <c r="A11" s="19" t="s">
        <v>24</v>
      </c>
      <c r="B11" s="19" t="s">
        <v>119</v>
      </c>
      <c r="C11" s="41">
        <f>+[1]TargetCo!$E$10</f>
        <v>43465</v>
      </c>
      <c r="D11" s="42">
        <v>0.34</v>
      </c>
      <c r="E11" s="19"/>
      <c r="F11" s="21">
        <f>('Data &amp; Forecasting '!K16*(1-'Data &amp; Forecasting '!K23))/('Data &amp; Forecasting '!J30+'Data &amp; Forecasting '!D28+'Data &amp; Forecasting '!D30)</f>
        <v>0.3288283382788631</v>
      </c>
      <c r="G11" s="21">
        <f>'Data &amp; Forecasting '!K22/'Data &amp; Forecasting '!J30</f>
        <v>0.2945754364089776</v>
      </c>
      <c r="H11" s="21">
        <f>'Data &amp; Forecasting '!K22/'Data &amp; Forecasting '!J31</f>
        <v>9.8601627712854772E-2</v>
      </c>
      <c r="I11" s="43"/>
      <c r="J11" s="21">
        <f>'Data &amp; Forecasting '!D28/('Data &amp; Forecasting '!D28+'Data &amp; Forecasting '!J30)</f>
        <v>0.26450936722127605</v>
      </c>
      <c r="K11" s="44">
        <f>'Data &amp; Forecasting '!D28/'Data &amp; Forecasting '!K29</f>
        <v>0.62701863354037268</v>
      </c>
      <c r="L11" s="44">
        <f>('Data &amp; Forecasting '!D28+'Data &amp; Forecasting '!D30)/'Data &amp; Forecasting '!K29</f>
        <v>0.11459627329192547</v>
      </c>
      <c r="M11" s="44"/>
      <c r="N11" s="44">
        <f>('Data &amp; Forecasting '!K29)/'Data &amp; Forecasting '!K17</f>
        <v>32.200000000000003</v>
      </c>
      <c r="O11" s="44">
        <f>('Data &amp; Forecasting '!K29-'Data &amp; Forecasting '!K32)/'Data &amp; Forecasting '!K17</f>
        <v>16.95</v>
      </c>
      <c r="P11" s="44">
        <f>'Data &amp; Forecasting '!K16/'Data &amp; Forecasting '!K17</f>
        <v>26.27</v>
      </c>
      <c r="Q11" s="45"/>
      <c r="R11" s="44" t="s">
        <v>96</v>
      </c>
      <c r="S11" s="44" t="str">
        <f>+[1]TargetCo!$E$12</f>
        <v>NA</v>
      </c>
      <c r="U11" s="44">
        <f>'Data &amp; Forecasting '!D31/'Data &amp; Forecasting '!K29</f>
        <v>22.051009316770187</v>
      </c>
      <c r="V11" s="44">
        <f>'Data &amp; Forecasting '!D31/'Data &amp; Forecasting '!K16</f>
        <v>27.028644842025123</v>
      </c>
      <c r="W11" s="44">
        <f>'Data &amp; Forecasting '!D23/'Data &amp; Forecasting '!K26</f>
        <v>42.712259708486151</v>
      </c>
      <c r="X11" s="44">
        <f>'Data &amp; Forecasting '!D31/'Data &amp; Forecasting '!J11</f>
        <v>7.1468797181680923</v>
      </c>
    </row>
    <row r="12" spans="1:24" x14ac:dyDescent="0.2">
      <c r="A12" s="22"/>
      <c r="B12" s="46"/>
      <c r="C12" s="46"/>
      <c r="D12" s="46"/>
      <c r="E12" s="46"/>
      <c r="F12" s="25"/>
      <c r="G12" s="25"/>
      <c r="H12" s="25"/>
      <c r="I12" s="18"/>
      <c r="J12" s="25"/>
      <c r="K12" s="25"/>
      <c r="L12" s="25"/>
      <c r="M12" s="25"/>
      <c r="N12" s="25"/>
      <c r="O12" s="25"/>
      <c r="P12" s="25"/>
      <c r="Q12" s="25"/>
      <c r="R12" s="47"/>
      <c r="S12" s="47"/>
    </row>
    <row r="13" spans="1:24" x14ac:dyDescent="0.2">
      <c r="A13" s="26" t="s">
        <v>98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 spans="1:24" x14ac:dyDescent="0.2">
      <c r="A14" s="22" t="s">
        <v>120</v>
      </c>
      <c r="B14" s="22" t="s">
        <v>126</v>
      </c>
      <c r="C14" s="48">
        <f>+'[1]CompCo 1'!$E$10</f>
        <v>43465</v>
      </c>
      <c r="D14" s="49">
        <v>0</v>
      </c>
      <c r="E14" s="22"/>
      <c r="F14" s="27">
        <f>('Data &amp; Forecasting '!O36*(1-'Data &amp; Forecasting '!AD36))/('Data &amp; Forecasting '!Y36+'Data &amp; Forecasting '!T36)</f>
        <v>0.16773398138818091</v>
      </c>
      <c r="G14" s="27">
        <f>'Data &amp; Forecasting '!R36/'Data &amp; Forecasting '!Y36</f>
        <v>0.19393482449526681</v>
      </c>
      <c r="H14" s="27">
        <f>'Data &amp; Forecasting '!R36/'Data &amp; Forecasting '!AA36</f>
        <v>6.1440059449560762E-2</v>
      </c>
      <c r="I14" s="50"/>
      <c r="J14" s="27">
        <f>('Data &amp; Forecasting '!S36)/('Data &amp; Forecasting '!S36+'Data &amp; Forecasting '!Y36)</f>
        <v>0.45961973743775464</v>
      </c>
      <c r="K14" s="47">
        <f>'Data &amp; Forecasting '!S36/'Data &amp; Forecasting '!L36</f>
        <v>2.1867327159164334</v>
      </c>
      <c r="L14" s="47">
        <f>'Data &amp; Forecasting '!T36/'Data &amp; Forecasting '!L36</f>
        <v>1.0626749946155503</v>
      </c>
      <c r="M14" s="47"/>
      <c r="N14" s="47">
        <f>'Data &amp; Forecasting '!L36/'Data &amp; Forecasting '!AE36</f>
        <v>9.212301587301587</v>
      </c>
      <c r="O14" s="47">
        <f>('Data &amp; Forecasting '!L36-'Data &amp; Forecasting '!AB36)/'Data &amp; Forecasting '!AE36</f>
        <v>7.0238095238095237</v>
      </c>
      <c r="P14" s="47">
        <f>'Data &amp; Forecasting '!O36/'Data &amp; Forecasting '!AE36</f>
        <v>7.1984126984126986</v>
      </c>
      <c r="Q14" s="25"/>
      <c r="R14" s="47" t="s">
        <v>158</v>
      </c>
      <c r="S14" s="47" t="s">
        <v>159</v>
      </c>
      <c r="U14" s="47">
        <f>'Data &amp; Forecasting '!F36/'Data &amp; Forecasting '!L36</f>
        <v>11.80516907172087</v>
      </c>
      <c r="V14" s="47">
        <f>'Data &amp; Forecasting '!F36/'Data &amp; Forecasting '!O36</f>
        <v>15.107883131201765</v>
      </c>
      <c r="W14" s="47">
        <f>'Data &amp; Forecasting '!C36/'Data &amp; Forecasting '!W36</f>
        <v>21.545313174946006</v>
      </c>
      <c r="X14" s="47">
        <f>'Data &amp; Forecasting '!F36/'Data &amp; Forecasting '!I36</f>
        <v>1.6531865480319712</v>
      </c>
    </row>
    <row r="15" spans="1:24" x14ac:dyDescent="0.2">
      <c r="A15" s="22" t="s">
        <v>121</v>
      </c>
      <c r="B15" s="22" t="s">
        <v>119</v>
      </c>
      <c r="C15" s="48">
        <f>+'[1]CompCo 2'!$E$10</f>
        <v>43465</v>
      </c>
      <c r="D15" s="49">
        <v>0.13</v>
      </c>
      <c r="E15" s="22"/>
      <c r="F15" s="27">
        <f>('Data &amp; Forecasting '!O37*(1-'Data &amp; Forecasting '!AD37))/('Data &amp; Forecasting '!Y37+'Data &amp; Forecasting '!T37)</f>
        <v>0.24922641352319092</v>
      </c>
      <c r="G15" s="27">
        <f>'Data &amp; Forecasting '!R37/'Data &amp; Forecasting '!Y37</f>
        <v>0.23240930139169502</v>
      </c>
      <c r="H15" s="27">
        <f>'Data &amp; Forecasting '!R37/'Data &amp; Forecasting '!AA37</f>
        <v>4.729871231043483E-2</v>
      </c>
      <c r="I15" s="50"/>
      <c r="J15" s="27">
        <f>('Data &amp; Forecasting '!S37)/('Data &amp; Forecasting '!S37+'Data &amp; Forecasting '!Y37)</f>
        <v>0.43477181484161098</v>
      </c>
      <c r="K15" s="47">
        <f>'Data &amp; Forecasting '!S37/'Data &amp; Forecasting '!L37</f>
        <v>1.638903743315508</v>
      </c>
      <c r="L15" s="47">
        <f>'Data &amp; Forecasting '!T37/'Data &amp; Forecasting '!L37</f>
        <v>0.43810160427807487</v>
      </c>
      <c r="M15" s="47"/>
      <c r="N15" s="47">
        <f>'Data &amp; Forecasting '!L37/'Data &amp; Forecasting '!AE37</f>
        <v>13.118204138898632</v>
      </c>
      <c r="O15" s="47">
        <f>('Data &amp; Forecasting '!L37-'Data &amp; Forecasting '!AB37)/'Data &amp; Forecasting '!AE37</f>
        <v>10.464047702560505</v>
      </c>
      <c r="P15" s="47">
        <f>'Data &amp; Forecasting '!O37/'Data &amp; Forecasting '!AE37</f>
        <v>10.550683970536653</v>
      </c>
      <c r="Q15" s="25"/>
      <c r="R15" s="47" t="s">
        <v>160</v>
      </c>
      <c r="S15" s="47" t="s">
        <v>161</v>
      </c>
      <c r="U15" s="47">
        <f>'Data &amp; Forecasting '!F37/'Data &amp; Forecasting '!L37</f>
        <v>13.06622604278075</v>
      </c>
      <c r="V15" s="47">
        <f>'Data &amp; Forecasting '!F37/'Data &amp; Forecasting '!O37</f>
        <v>16.245906050531914</v>
      </c>
      <c r="W15" s="47">
        <f>'Data &amp; Forecasting '!C37/'Data &amp; Forecasting '!W37</f>
        <v>25.501719978401731</v>
      </c>
      <c r="X15" s="47">
        <f>'Data &amp; Forecasting '!F37/'Data &amp; Forecasting '!I37</f>
        <v>2.0533503676625071</v>
      </c>
    </row>
    <row r="16" spans="1:24" x14ac:dyDescent="0.2">
      <c r="A16" s="22" t="s">
        <v>114</v>
      </c>
      <c r="B16" s="22" t="s">
        <v>119</v>
      </c>
      <c r="C16" s="48">
        <f>+'[1]CompCo 3'!$E$10</f>
        <v>43465</v>
      </c>
      <c r="D16" s="49">
        <v>0.47</v>
      </c>
      <c r="E16" s="22"/>
      <c r="F16" s="27">
        <f>('Data &amp; Forecasting '!O38*(1-'Data &amp; Forecasting '!AD38))/('Data &amp; Forecasting '!Y38+'Data &amp; Forecasting '!T38)</f>
        <v>0.1623074585906106</v>
      </c>
      <c r="G16" s="27">
        <f>'Data &amp; Forecasting '!R38/'Data &amp; Forecasting '!Y38</f>
        <v>0.13169456066945606</v>
      </c>
      <c r="H16" s="27">
        <f>'Data &amp; Forecasting '!R38/'Data &amp; Forecasting '!AA38</f>
        <v>3.6483236257208264E-2</v>
      </c>
      <c r="I16" s="50"/>
      <c r="J16" s="27">
        <f>('Data &amp; Forecasting '!S38)/('Data &amp; Forecasting '!S38+'Data &amp; Forecasting '!Y38)</f>
        <v>0.31952452131824327</v>
      </c>
      <c r="K16" s="47">
        <f>'Data &amp; Forecasting '!S38/'Data &amp; Forecasting '!L38</f>
        <v>1.6311773255813953</v>
      </c>
      <c r="L16" s="47">
        <f>'Data &amp; Forecasting '!T38/'Data &amp; Forecasting '!L38</f>
        <v>0.23364825581395349</v>
      </c>
      <c r="M16" s="47"/>
      <c r="N16" s="47">
        <f>'Data &amp; Forecasting '!L38/'Data &amp; Forecasting '!AE38</f>
        <v>28.666666666666668</v>
      </c>
      <c r="O16" s="47">
        <f>('Data &amp; Forecasting '!L38-'Data &amp; Forecasting '!AB38)/'Data &amp; Forecasting '!AE38</f>
        <v>18.083333333333332</v>
      </c>
      <c r="P16" s="47">
        <f>'Data &amp; Forecasting '!O38/'Data &amp; Forecasting '!AE38</f>
        <v>21.322916666666668</v>
      </c>
      <c r="Q16" s="25"/>
      <c r="R16" s="47" t="s">
        <v>163</v>
      </c>
      <c r="S16" s="47" t="s">
        <v>162</v>
      </c>
      <c r="U16" s="47">
        <f>'Data &amp; Forecasting '!F38/'Data &amp; Forecasting '!L38</f>
        <v>10.521878779069768</v>
      </c>
      <c r="V16" s="47">
        <f>'Data &amp; Forecasting '!F38/'Data &amp; Forecasting '!O38</f>
        <v>14.14568168050806</v>
      </c>
      <c r="W16" s="47">
        <f>'Data &amp; Forecasting '!C38/'Data &amp; Forecasting '!W38</f>
        <v>22.488650039714063</v>
      </c>
      <c r="X16" s="47">
        <f>'Data &amp; Forecasting '!F38/'Data &amp; Forecasting '!I38</f>
        <v>1.3621323925110547</v>
      </c>
    </row>
    <row r="17" spans="1:24" x14ac:dyDescent="0.2">
      <c r="A17" s="22" t="s">
        <v>122</v>
      </c>
      <c r="B17" s="22" t="s">
        <v>124</v>
      </c>
      <c r="C17" s="48">
        <f>+'[1]CompCo 4'!$E$10</f>
        <v>43465</v>
      </c>
      <c r="D17" s="49">
        <v>-0.02</v>
      </c>
      <c r="E17" s="22"/>
      <c r="F17" s="27">
        <f>('Data &amp; Forecasting '!O39*(1-'Data &amp; Forecasting '!AD39))/('Data &amp; Forecasting '!Y39+'Data &amp; Forecasting '!T39)</f>
        <v>0.16151277172813019</v>
      </c>
      <c r="G17" s="27">
        <f>'Data &amp; Forecasting '!R39/'Data &amp; Forecasting '!Y39</f>
        <v>0.17742754292043567</v>
      </c>
      <c r="H17" s="27">
        <f>'Data &amp; Forecasting '!R39/'Data &amp; Forecasting '!AA39</f>
        <v>6.1658006158583523E-2</v>
      </c>
      <c r="I17" s="50"/>
      <c r="J17" s="27">
        <f>('Data &amp; Forecasting '!S39)/('Data &amp; Forecasting '!S39+'Data &amp; Forecasting '!Y39)</f>
        <v>0.25340683952106124</v>
      </c>
      <c r="K17" s="47">
        <f>'Data &amp; Forecasting '!S39/'Data &amp; Forecasting '!L39</f>
        <v>1.0771089630931459</v>
      </c>
      <c r="L17" s="47">
        <f>'Data &amp; Forecasting '!T39/'Data &amp; Forecasting '!L39</f>
        <v>0.44449326303456355</v>
      </c>
      <c r="M17" s="47"/>
      <c r="N17" s="47">
        <f>'Data &amp; Forecasting '!L39/'Data &amp; Forecasting '!AE39</f>
        <v>68.28</v>
      </c>
      <c r="O17" s="47">
        <f>('Data &amp; Forecasting '!L39-'Data &amp; Forecasting '!AB39)/'Data &amp; Forecasting '!AE39</f>
        <v>32.17</v>
      </c>
      <c r="P17" s="47">
        <f>'Data &amp; Forecasting '!O39/'Data &amp; Forecasting '!AE39</f>
        <v>50.25</v>
      </c>
      <c r="Q17" s="25"/>
      <c r="R17" s="47" t="s">
        <v>160</v>
      </c>
      <c r="S17" s="47" t="s">
        <v>159</v>
      </c>
      <c r="U17" s="47">
        <f>'Data &amp; Forecasting '!F39/'Data &amp; Forecasting '!L39</f>
        <v>21.302082015231402</v>
      </c>
      <c r="V17" s="47">
        <f>'Data &amp; Forecasting '!F39/'Data &amp; Forecasting '!O39</f>
        <v>28.945396218905476</v>
      </c>
      <c r="W17" s="47">
        <f>'Data &amp; Forecasting '!C39/'Data &amp; Forecasting '!W39</f>
        <v>37.043989075302385</v>
      </c>
      <c r="X17" s="47">
        <f>'Data &amp; Forecasting '!F39/'Data &amp; Forecasting '!I39</f>
        <v>3.0407052650283792</v>
      </c>
    </row>
    <row r="18" spans="1:24" x14ac:dyDescent="0.2">
      <c r="A18" s="22" t="s">
        <v>123</v>
      </c>
      <c r="B18" s="22" t="s">
        <v>125</v>
      </c>
      <c r="C18" s="48">
        <f>+'[1]CompCo 5'!$E$10</f>
        <v>43465</v>
      </c>
      <c r="D18" s="49">
        <v>0.45</v>
      </c>
      <c r="E18" s="22"/>
      <c r="F18" s="27">
        <f>('Data &amp; Forecasting '!O40*(1-'Data &amp; Forecasting '!AD40))/('Data &amp; Forecasting '!Y40+'Data &amp; Forecasting '!T40)</f>
        <v>0.70601816620879121</v>
      </c>
      <c r="G18" s="27">
        <f>'Data &amp; Forecasting '!R40/'Data &amp; Forecasting '!Y40</f>
        <v>0.39875996457041629</v>
      </c>
      <c r="H18" s="27">
        <f>'Data &amp; Forecasting '!R40/'Data &amp; Forecasting '!AA40</f>
        <v>0.10964442279590843</v>
      </c>
      <c r="I18" s="50"/>
      <c r="J18" s="27">
        <f>('Data &amp; Forecasting '!S40)/('Data &amp; Forecasting '!S40+'Data &amp; Forecasting '!Y40)</f>
        <v>0.17932688812967942</v>
      </c>
      <c r="K18" s="47">
        <f>'Data &amp; Forecasting '!S40/'Data &amp; Forecasting '!L40</f>
        <v>0.39099770187812027</v>
      </c>
      <c r="L18" s="47">
        <f>'Data &amp; Forecasting '!T40/'Data &amp; Forecasting '!L40</f>
        <v>-0.86631270306680408</v>
      </c>
      <c r="M18" s="47"/>
      <c r="N18" s="47">
        <f>'Data &amp; Forecasting '!L40/'Data &amp; Forecasting '!AE40</f>
        <v>85.843537414965979</v>
      </c>
      <c r="O18" s="47">
        <f>('Data &amp; Forecasting '!L40-'Data &amp; Forecasting '!AB40)/'Data &amp; Forecasting '!AE40</f>
        <v>66.414965986394563</v>
      </c>
      <c r="P18" s="47">
        <f>'Data &amp; Forecasting '!O40/'Data &amp; Forecasting '!AE40</f>
        <v>72.027210884353735</v>
      </c>
      <c r="Q18" s="25"/>
      <c r="R18" s="47" t="s">
        <v>165</v>
      </c>
      <c r="S18" s="47" t="s">
        <v>164</v>
      </c>
      <c r="U18" s="47">
        <f>'Data &amp; Forecasting '!F40/'Data &amp; Forecasting '!L40</f>
        <v>17.158429035581268</v>
      </c>
      <c r="V18" s="47">
        <f>'Data &amp; Forecasting '!F40/'Data &amp; Forecasting '!O40</f>
        <v>20.449774839440877</v>
      </c>
      <c r="W18" s="47">
        <f>'Data &amp; Forecasting '!C40/'Data &amp; Forecasting '!W40</f>
        <v>25.261463349622389</v>
      </c>
      <c r="X18" s="47">
        <f>'Data &amp; Forecasting '!F40/'Data &amp; Forecasting '!I40</f>
        <v>3.106933792509686</v>
      </c>
    </row>
    <row r="19" spans="1:24" x14ac:dyDescent="0.2">
      <c r="A19" s="22"/>
      <c r="B19" s="22"/>
      <c r="C19" s="48"/>
      <c r="D19" s="49"/>
      <c r="E19" s="22"/>
      <c r="F19" s="25"/>
      <c r="G19" s="25"/>
      <c r="H19" s="25"/>
      <c r="I19" s="18"/>
      <c r="J19" s="25"/>
      <c r="K19" s="47"/>
      <c r="L19" s="47"/>
      <c r="M19" s="47"/>
      <c r="N19" s="47"/>
      <c r="O19" s="47"/>
      <c r="P19" s="47"/>
      <c r="Q19" s="25"/>
      <c r="R19" s="47"/>
      <c r="S19" s="47"/>
    </row>
    <row r="20" spans="1:24" x14ac:dyDescent="0.2">
      <c r="A20" s="28" t="s">
        <v>19</v>
      </c>
      <c r="B20" s="28"/>
      <c r="C20" s="28"/>
      <c r="D20" s="51">
        <f>+AVERAGE(D14:D18)</f>
        <v>0.20600000000000002</v>
      </c>
      <c r="E20" s="29"/>
      <c r="F20" s="32">
        <f>+AVERAGE(F14:F18)</f>
        <v>0.28935975828778077</v>
      </c>
      <c r="G20" s="32">
        <f>+AVERAGE(G14:G18)</f>
        <v>0.22684523880945395</v>
      </c>
      <c r="H20" s="32">
        <f>+AVERAGE(H14:H18)</f>
        <v>6.3304887394339163E-2</v>
      </c>
      <c r="I20" s="32"/>
      <c r="J20" s="32">
        <f>+AVERAGE(J14:J18)</f>
        <v>0.32932996024966993</v>
      </c>
      <c r="K20" s="31">
        <f>+AVERAGE(K14:K18)</f>
        <v>1.3849840899569206</v>
      </c>
      <c r="L20" s="31">
        <f>+AVERAGE(L14:L18)</f>
        <v>0.2625210829350676</v>
      </c>
      <c r="M20" s="31"/>
      <c r="N20" s="31">
        <f>+AVERAGE(N14:N18)</f>
        <v>41.024141961566571</v>
      </c>
      <c r="O20" s="31">
        <f>+AVERAGE(O14:O18)</f>
        <v>26.831231309219582</v>
      </c>
      <c r="P20" s="31">
        <f>+AVERAGE(P14:P18)</f>
        <v>32.269844843993951</v>
      </c>
      <c r="Q20" s="31"/>
      <c r="R20" s="31"/>
      <c r="S20" s="52"/>
      <c r="T20" s="31"/>
      <c r="U20" s="31">
        <f>+AVERAGE(U14:U18)</f>
        <v>14.770756988876812</v>
      </c>
      <c r="V20" s="31">
        <f>+AVERAGE(V14:V18)</f>
        <v>18.978928384117619</v>
      </c>
      <c r="W20" s="31">
        <f>+AVERAGE(W14:W18)</f>
        <v>26.368227123597318</v>
      </c>
      <c r="X20" s="31">
        <f>+AVERAGE(X14:X18)</f>
        <v>2.2432616731487198</v>
      </c>
    </row>
    <row r="21" spans="1:24" x14ac:dyDescent="0.2">
      <c r="A21" s="28" t="s">
        <v>20</v>
      </c>
      <c r="B21" s="28"/>
      <c r="C21" s="28"/>
      <c r="D21" s="51">
        <f>MEDIAN(D14:D18)</f>
        <v>0.13</v>
      </c>
      <c r="E21" s="29"/>
      <c r="F21" s="32">
        <f>MEDIAN(F14:F18)</f>
        <v>0.16773398138818091</v>
      </c>
      <c r="G21" s="32">
        <f>MEDIAN(G14:G18)</f>
        <v>0.19393482449526681</v>
      </c>
      <c r="H21" s="32">
        <f>MEDIAN(H14:H18)</f>
        <v>6.1440059449560762E-2</v>
      </c>
      <c r="I21" s="32"/>
      <c r="J21" s="32">
        <f>MEDIAN(J14:J18)</f>
        <v>0.31952452131824327</v>
      </c>
      <c r="K21" s="31">
        <f>MEDIAN(K14:K18)</f>
        <v>1.6311773255813953</v>
      </c>
      <c r="L21" s="31">
        <f>MEDIAN(L14:L18)</f>
        <v>0.43810160427807487</v>
      </c>
      <c r="M21" s="31"/>
      <c r="N21" s="31">
        <f>MEDIAN(N14:N18)</f>
        <v>28.666666666666668</v>
      </c>
      <c r="O21" s="31">
        <f>MEDIAN(O14:O18)</f>
        <v>18.083333333333332</v>
      </c>
      <c r="P21" s="31">
        <f>MEDIAN(P14:P18)</f>
        <v>21.322916666666668</v>
      </c>
      <c r="Q21" s="31"/>
      <c r="R21" s="31"/>
      <c r="S21" s="52"/>
      <c r="T21" s="31"/>
      <c r="U21" s="31">
        <f>MEDIAN(U14:U18)</f>
        <v>13.06622604278075</v>
      </c>
      <c r="V21" s="31">
        <f>MEDIAN(V14:V18)</f>
        <v>16.245906050531914</v>
      </c>
      <c r="W21" s="31">
        <f>MEDIAN(W14:W18)</f>
        <v>25.261463349622389</v>
      </c>
      <c r="X21" s="31">
        <f>MEDIAN(X14:X18)</f>
        <v>2.0533503676625071</v>
      </c>
    </row>
    <row r="22" spans="1:24" x14ac:dyDescent="0.2">
      <c r="A22" s="33"/>
      <c r="B22" s="33"/>
      <c r="C22" s="33"/>
      <c r="D22" s="42"/>
      <c r="E22" s="34"/>
      <c r="F22" s="36"/>
      <c r="G22" s="36"/>
      <c r="H22" s="36"/>
      <c r="I22" s="36"/>
      <c r="J22" s="36"/>
      <c r="K22" s="35"/>
      <c r="L22" s="35"/>
      <c r="M22" s="35"/>
      <c r="N22" s="35"/>
      <c r="O22" s="35"/>
      <c r="P22" s="35"/>
      <c r="Q22" s="35"/>
      <c r="R22" s="35"/>
      <c r="S22" s="53"/>
    </row>
    <row r="23" spans="1:24" x14ac:dyDescent="0.2">
      <c r="A23" s="26" t="s">
        <v>144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spans="1:24" x14ac:dyDescent="0.2">
      <c r="A24" s="22" t="s">
        <v>153</v>
      </c>
      <c r="B24" s="22" t="s">
        <v>152</v>
      </c>
      <c r="C24" s="48">
        <f>+'[1]CompCo 6'!$E$10</f>
        <v>43465</v>
      </c>
      <c r="D24" s="49">
        <v>0.2</v>
      </c>
      <c r="E24" s="22"/>
      <c r="F24" s="27">
        <f>('Data &amp; Forecasting '!O43*(1-'Data &amp; Forecasting '!AD43))/('Data &amp; Forecasting '!Y43+'Data &amp; Forecasting '!T43)</f>
        <v>0.33507980246913577</v>
      </c>
      <c r="G24" s="27">
        <f>'Data &amp; Forecasting '!R43/'Data &amp; Forecasting '!Y43</f>
        <v>1.0278232405891981</v>
      </c>
      <c r="H24" s="27">
        <f>'Data &amp; Forecasting '!R43/'Data &amp; Forecasting '!AA43</f>
        <v>0.11544117647058824</v>
      </c>
      <c r="I24" s="50"/>
      <c r="J24" s="27">
        <f>('Data &amp; Forecasting '!S43)/('Data &amp; Forecasting '!S43+'Data &amp; Forecasting '!Y43)</f>
        <v>0.76351993244431937</v>
      </c>
      <c r="K24" s="47">
        <f>'Data &amp; Forecasting '!S43/'Data &amp; Forecasting '!L43</f>
        <v>1.9252950048797799</v>
      </c>
      <c r="L24" s="47">
        <f>'Data &amp; Forecasting '!T43/'Data &amp; Forecasting '!L43</f>
        <v>1.5596664004968503</v>
      </c>
      <c r="M24" s="47"/>
      <c r="N24" s="47">
        <f>'Data &amp; Forecasting '!L43/'Data &amp; Forecasting '!AE43</f>
        <v>10.081395348837209</v>
      </c>
      <c r="O24" s="47">
        <f>('Data &amp; Forecasting '!L43-'Data &amp; Forecasting '!AB43)/'Data &amp; Forecasting '!AE43</f>
        <v>8.6064400715563512</v>
      </c>
      <c r="P24" s="47">
        <f>'Data &amp; Forecasting '!O43/'Data &amp; Forecasting '!AE43</f>
        <v>8.5966010733452602</v>
      </c>
      <c r="Q24" s="25"/>
      <c r="R24" s="47" t="s">
        <v>160</v>
      </c>
      <c r="S24" s="47" t="s">
        <v>167</v>
      </c>
      <c r="U24" s="47">
        <f>'Data &amp; Forecasting '!F43/'Data &amp; Forecasting '!L43</f>
        <v>11.660692303256145</v>
      </c>
      <c r="V24" s="47">
        <f>'Data &amp; Forecasting '!F43/'Data &amp; Forecasting '!O43</f>
        <v>13.674712615752783</v>
      </c>
      <c r="W24" s="47">
        <f>'Data &amp; Forecasting '!C43/'Data &amp; Forecasting '!W43</f>
        <v>16.480698168789811</v>
      </c>
      <c r="X24" s="47">
        <f>'Data &amp; Forecasting '!F43/'Data &amp; Forecasting '!I43</f>
        <v>1.6619583074102176</v>
      </c>
    </row>
    <row r="25" spans="1:24" x14ac:dyDescent="0.2">
      <c r="A25" s="22" t="s">
        <v>154</v>
      </c>
      <c r="B25" s="22" t="s">
        <v>152</v>
      </c>
      <c r="C25" s="48">
        <f>+'[1]CompCo 7'!$E$10</f>
        <v>43465</v>
      </c>
      <c r="D25" s="49">
        <v>0.01</v>
      </c>
      <c r="E25" s="22"/>
      <c r="F25" s="27">
        <f>('Data &amp; Forecasting '!O44*(1-'Data &amp; Forecasting '!AD44))/('Data &amp; Forecasting '!Y44+'Data &amp; Forecasting '!T44)</f>
        <v>0.13963018991725293</v>
      </c>
      <c r="G25" s="27">
        <f>'Data &amp; Forecasting '!R44/'Data &amp; Forecasting '!Y44</f>
        <v>0.238694974211347</v>
      </c>
      <c r="H25" s="27">
        <f>'Data &amp; Forecasting '!R44/'Data &amp; Forecasting '!AA44</f>
        <v>7.7466570644451796E-2</v>
      </c>
      <c r="I25" s="50"/>
      <c r="J25" s="27">
        <f>('Data &amp; Forecasting '!S44)/('Data &amp; Forecasting '!S44+'Data &amp; Forecasting '!Y44)</f>
        <v>0.50511975781319562</v>
      </c>
      <c r="K25" s="47">
        <f>'Data &amp; Forecasting '!S44/'Data &amp; Forecasting '!L44</f>
        <v>2.7529925590423812</v>
      </c>
      <c r="L25" s="47">
        <f>'Data &amp; Forecasting '!T44/'Data &amp; Forecasting '!L44</f>
        <v>1.7403752830799095</v>
      </c>
      <c r="M25" s="47"/>
      <c r="N25" s="47">
        <f>'Data &amp; Forecasting '!L44/'Data &amp; Forecasting '!AE44</f>
        <v>9.2962406015037597</v>
      </c>
      <c r="O25" s="47">
        <f>('Data &amp; Forecasting '!L44-'Data &amp; Forecasting '!AB44)/'Data &amp; Forecasting '!AE44</f>
        <v>7.1157894736842104</v>
      </c>
      <c r="P25" s="47">
        <f>'Data &amp; Forecasting '!O44/'Data &amp; Forecasting '!AE44</f>
        <v>6.9819548872180448</v>
      </c>
      <c r="Q25" s="25"/>
      <c r="R25" s="47" t="s">
        <v>168</v>
      </c>
      <c r="S25" s="47" t="s">
        <v>159</v>
      </c>
      <c r="U25" s="47">
        <f>'Data &amp; Forecasting '!F44/'Data &amp; Forecasting '!L44</f>
        <v>14.939510029116791</v>
      </c>
      <c r="V25" s="47">
        <f>'Data &amp; Forecasting '!F44/'Data &amp; Forecasting '!O44</f>
        <v>19.891460478139134</v>
      </c>
      <c r="W25" s="47">
        <f>'Data &amp; Forecasting '!C44/'Data &amp; Forecasting '!W44</f>
        <v>20.501771608040201</v>
      </c>
      <c r="X25" s="47">
        <f>'Data &amp; Forecasting '!F44/'Data &amp; Forecasting '!I44</f>
        <v>2.1052211306131756</v>
      </c>
    </row>
    <row r="26" spans="1:24" x14ac:dyDescent="0.2">
      <c r="A26" s="22" t="s">
        <v>155</v>
      </c>
      <c r="B26" s="22" t="s">
        <v>152</v>
      </c>
      <c r="C26" s="48">
        <f>+'[1]CompCo 8'!$E$10</f>
        <v>43465</v>
      </c>
      <c r="D26" s="49">
        <v>0.37</v>
      </c>
      <c r="E26" s="22"/>
      <c r="F26" s="27">
        <f>('Data &amp; Forecasting '!O45*(1-'Data &amp; Forecasting '!AD45))/('Data &amp; Forecasting '!Y45+'Data &amp; Forecasting '!T45)</f>
        <v>0.12278221838860137</v>
      </c>
      <c r="G26" s="27">
        <f>'Data &amp; Forecasting '!R45/'Data &amp; Forecasting '!Y45</f>
        <v>0.17375692764030912</v>
      </c>
      <c r="H26" s="27">
        <f>'Data &amp; Forecasting '!R45/'Data &amp; Forecasting '!AA45</f>
        <v>7.7765550489964891E-2</v>
      </c>
      <c r="I26" s="50"/>
      <c r="J26" s="27">
        <f>('Data &amp; Forecasting '!S45)/('Data &amp; Forecasting '!S45+'Data &amp; Forecasting '!Y45)</f>
        <v>0.27643952444155773</v>
      </c>
      <c r="K26" s="47">
        <f>'Data &amp; Forecasting '!S45/'Data &amp; Forecasting '!L45</f>
        <v>1.4762479264062736</v>
      </c>
      <c r="L26" s="47">
        <f>'Data &amp; Forecasting '!T45/'Data &amp; Forecasting '!L45</f>
        <v>0.85658271753883275</v>
      </c>
      <c r="M26" s="47"/>
      <c r="N26" s="47">
        <f>'Data &amp; Forecasting '!L45/'Data &amp; Forecasting '!AE45</f>
        <v>16.49502487562189</v>
      </c>
      <c r="O26" s="47">
        <f>('Data &amp; Forecasting '!L45-'Data &amp; Forecasting '!AB45)/'Data &amp; Forecasting '!AE45</f>
        <v>13.606965174129353</v>
      </c>
      <c r="P26" s="47">
        <f>'Data &amp; Forecasting '!O45/'Data &amp; Forecasting '!AE45</f>
        <v>14.121890547263682</v>
      </c>
      <c r="Q26" s="25"/>
      <c r="R26" s="47" t="s">
        <v>160</v>
      </c>
      <c r="S26" s="47" t="s">
        <v>161</v>
      </c>
      <c r="U26" s="47">
        <f>'Data &amp; Forecasting '!F45/'Data &amp; Forecasting '!L45</f>
        <v>14.76407788870457</v>
      </c>
      <c r="V26" s="47">
        <f>'Data &amp; Forecasting '!F45/'Data &amp; Forecasting '!O45</f>
        <v>17.245129554342082</v>
      </c>
      <c r="W26" s="47">
        <f>'Data &amp; Forecasting '!C45/'Data &amp; Forecasting '!W45</f>
        <v>20.714420592991917</v>
      </c>
      <c r="X26" s="47">
        <f>'Data &amp; Forecasting '!F45/'Data &amp; Forecasting '!I45</f>
        <v>1.7885961794796845</v>
      </c>
    </row>
    <row r="27" spans="1:24" x14ac:dyDescent="0.2">
      <c r="A27" s="22" t="s">
        <v>156</v>
      </c>
      <c r="B27" s="22" t="s">
        <v>119</v>
      </c>
      <c r="C27" s="48">
        <f>+'[1]CompCo 10'!$E$10</f>
        <v>43465</v>
      </c>
      <c r="D27" s="49">
        <v>0.92</v>
      </c>
      <c r="E27" s="22"/>
      <c r="F27" s="27">
        <f>('Data &amp; Forecasting '!O46*(1-'Data &amp; Forecasting '!AD46))/('Data &amp; Forecasting '!Y46+'Data &amp; Forecasting '!T46)</f>
        <v>0.37866728971962615</v>
      </c>
      <c r="G27" s="27">
        <f>'Data &amp; Forecasting '!R46/'Data &amp; Forecasting '!Y46</f>
        <v>0.26659478401509534</v>
      </c>
      <c r="H27" s="27">
        <f>'Data &amp; Forecasting '!R46/'Data &amp; Forecasting '!AA46</f>
        <v>6.3998446953764526E-2</v>
      </c>
      <c r="I27" s="50"/>
      <c r="J27" s="27">
        <f>('Data &amp; Forecasting '!S46)/('Data &amp; Forecasting '!S46+'Data &amp; Forecasting '!Y46)</f>
        <v>0.2640845070422535</v>
      </c>
      <c r="K27" s="47">
        <f>'Data &amp; Forecasting '!S46/'Data &amp; Forecasting '!L46</f>
        <v>0.6935399843709299</v>
      </c>
      <c r="L27" s="47">
        <f>'Data &amp; Forecasting '!T46/'Data &amp; Forecasting '!L46</f>
        <v>-0.19067465485803595</v>
      </c>
      <c r="M27" s="47"/>
      <c r="N27" s="47">
        <f>'Data &amp; Forecasting '!L46/'Data &amp; Forecasting '!AE46</f>
        <v>56.874074074074073</v>
      </c>
      <c r="O27" s="47">
        <f>('Data &amp; Forecasting '!L46-'Data &amp; Forecasting '!AB46)/'Data &amp; Forecasting '!AE46</f>
        <v>43.540740740740738</v>
      </c>
      <c r="P27" s="47">
        <f>'Data &amp; Forecasting '!O46/'Data &amp; Forecasting '!AE46</f>
        <v>45.474074074074075</v>
      </c>
      <c r="Q27" s="25"/>
      <c r="R27" s="47" t="s">
        <v>167</v>
      </c>
      <c r="S27" s="47" t="str">
        <f>+'[1]CompCo 10'!$E$12</f>
        <v>NA</v>
      </c>
      <c r="U27" s="47">
        <f>'Data &amp; Forecasting '!F46/'Data &amp; Forecasting '!L46</f>
        <v>15.962545532690802</v>
      </c>
      <c r="V27" s="47">
        <f>'Data &amp; Forecasting '!F46/'Data &amp; Forecasting '!O46</f>
        <v>19.964232708910242</v>
      </c>
      <c r="W27" s="47">
        <f>'Data &amp; Forecasting '!C46/'Data &amp; Forecasting '!W46</f>
        <v>31.350966784630938</v>
      </c>
      <c r="X27" s="47">
        <f>'Data &amp; Forecasting '!F46/'Data &amp; Forecasting '!I46</f>
        <v>3.4440629629629624</v>
      </c>
    </row>
    <row r="28" spans="1:24" x14ac:dyDescent="0.2">
      <c r="A28" s="22" t="s">
        <v>157</v>
      </c>
      <c r="B28" s="22" t="s">
        <v>126</v>
      </c>
      <c r="C28" s="48">
        <f>+'[1]CompCo 9'!$E$10</f>
        <v>43465</v>
      </c>
      <c r="D28" s="49">
        <v>1.1599999999999999</v>
      </c>
      <c r="E28" s="22"/>
      <c r="F28" s="27">
        <f>('Data &amp; Forecasting '!O47*(1-'Data &amp; Forecasting '!AD47))/('Data &amp; Forecasting '!Y47+'Data &amp; Forecasting '!T47)</f>
        <v>3.3493077699293639</v>
      </c>
      <c r="G28" s="27">
        <f>'Data &amp; Forecasting '!R47/'Data &amp; Forecasting '!Y47</f>
        <v>1.1220486741736289</v>
      </c>
      <c r="H28" s="27">
        <f>'Data &amp; Forecasting '!R47/'Data &amp; Forecasting '!AA47</f>
        <v>8.1044208316935595E-2</v>
      </c>
      <c r="I28" s="50"/>
      <c r="J28" s="27">
        <f>('Data &amp; Forecasting '!S47)/('Data &amp; Forecasting '!S47+'Data &amp; Forecasting '!Y47)</f>
        <v>0.60811387900355873</v>
      </c>
      <c r="K28" s="47">
        <f>'Data &amp; Forecasting '!S47/'Data &amp; Forecasting '!L47</f>
        <v>0.88392302917442578</v>
      </c>
      <c r="L28" s="47">
        <f>'Data &amp; Forecasting '!T47/'Data &amp; Forecasting '!L47</f>
        <v>-0.36457686737016348</v>
      </c>
      <c r="M28" s="47"/>
      <c r="N28" s="47">
        <f>'Data &amp; Forecasting '!L47/'Data &amp; Forecasting '!AE47</f>
        <v>16.003311258278146</v>
      </c>
      <c r="O28" s="47">
        <f>('Data &amp; Forecasting '!L47-'Data &amp; Forecasting '!AB47)/'Data &amp; Forecasting '!AE47</f>
        <v>12.741721854304636</v>
      </c>
      <c r="P28" s="47">
        <f>'Data &amp; Forecasting '!O47/'Data &amp; Forecasting '!AE47</f>
        <v>13.052980132450331</v>
      </c>
      <c r="Q28" s="25"/>
      <c r="R28" s="47" t="s">
        <v>158</v>
      </c>
      <c r="S28" s="47" t="s">
        <v>166</v>
      </c>
      <c r="U28" s="47">
        <f>'Data &amp; Forecasting '!F47/'Data &amp; Forecasting '!L47</f>
        <v>27.081183529898617</v>
      </c>
      <c r="V28" s="47">
        <f>'Data &amp; Forecasting '!F47/'Data &amp; Forecasting '!O47</f>
        <v>33.202272957889399</v>
      </c>
      <c r="W28" s="47">
        <f>'Data &amp; Forecasting '!C47/'Data &amp; Forecasting '!W47</f>
        <v>42.941197798640339</v>
      </c>
      <c r="X28" s="47">
        <f>'Data &amp; Forecasting '!F47/'Data &amp; Forecasting '!I47</f>
        <v>5.843007142857144</v>
      </c>
    </row>
    <row r="29" spans="1:24" x14ac:dyDescent="0.2">
      <c r="A29" s="22"/>
      <c r="B29" s="22"/>
      <c r="C29" s="48"/>
      <c r="D29" s="49"/>
      <c r="E29" s="22"/>
      <c r="F29" s="25"/>
      <c r="G29" s="25"/>
      <c r="H29" s="25"/>
      <c r="I29" s="18"/>
      <c r="J29" s="25"/>
      <c r="K29" s="47"/>
      <c r="L29" s="47"/>
      <c r="M29" s="47"/>
      <c r="N29" s="47"/>
      <c r="O29" s="47"/>
      <c r="P29" s="47"/>
      <c r="Q29" s="25"/>
      <c r="R29" s="47"/>
      <c r="S29" s="47"/>
    </row>
    <row r="30" spans="1:24" x14ac:dyDescent="0.2">
      <c r="A30" s="28" t="s">
        <v>19</v>
      </c>
      <c r="B30" s="28"/>
      <c r="C30" s="28"/>
      <c r="D30" s="51">
        <f>+AVERAGE(D24:D28)</f>
        <v>0.53200000000000003</v>
      </c>
      <c r="E30" s="29"/>
      <c r="F30" s="32">
        <f>+AVERAGE(F24:F28)</f>
        <v>0.86509345408479599</v>
      </c>
      <c r="G30" s="32">
        <f>+AVERAGE(G24:G28)</f>
        <v>0.5657837201259156</v>
      </c>
      <c r="H30" s="32">
        <f>+AVERAGE(H24:H28)</f>
        <v>8.314319057514101E-2</v>
      </c>
      <c r="I30" s="32"/>
      <c r="J30" s="31">
        <f>+AVERAGE(J24:J28)</f>
        <v>0.48345552014897697</v>
      </c>
      <c r="K30" s="31">
        <f>+AVERAGE(K24:K28)</f>
        <v>1.5463997007747581</v>
      </c>
      <c r="L30" s="31">
        <f>+AVERAGE(L24:L28)</f>
        <v>0.72027457577747867</v>
      </c>
      <c r="M30" s="31"/>
      <c r="N30" s="31">
        <f>+AVERAGE(N24:N28)</f>
        <v>21.750009231663014</v>
      </c>
      <c r="O30" s="31">
        <f>+AVERAGE(O24:O28)</f>
        <v>17.122331462883057</v>
      </c>
      <c r="P30" s="31">
        <f>+AVERAGE(P24:P28)</f>
        <v>17.645500142870279</v>
      </c>
      <c r="Q30" s="31"/>
      <c r="R30" s="52"/>
      <c r="S30" s="52"/>
      <c r="T30" s="52"/>
      <c r="U30" s="31">
        <f>+AVERAGE(U24:U28)</f>
        <v>16.881601856733386</v>
      </c>
      <c r="V30" s="31">
        <f>+AVERAGE(V24:V28)</f>
        <v>20.79556166300673</v>
      </c>
      <c r="W30" s="31">
        <f>+AVERAGE(W24:W28)</f>
        <v>26.397810990618645</v>
      </c>
      <c r="X30" s="31">
        <f>+AVERAGE(X24:X28)</f>
        <v>2.9685691446646367</v>
      </c>
    </row>
    <row r="31" spans="1:24" x14ac:dyDescent="0.2">
      <c r="A31" s="28" t="s">
        <v>20</v>
      </c>
      <c r="B31" s="28"/>
      <c r="C31" s="28"/>
      <c r="D31" s="51">
        <f>MEDIAN(D24:D28)</f>
        <v>0.37</v>
      </c>
      <c r="E31" s="29"/>
      <c r="F31" s="32">
        <f>MEDIAN(F24:F28)</f>
        <v>0.33507980246913577</v>
      </c>
      <c r="G31" s="32">
        <f>MEDIAN(G24:G28)</f>
        <v>0.26659478401509534</v>
      </c>
      <c r="H31" s="32">
        <f>MEDIAN(H24:H28)</f>
        <v>7.7765550489964891E-2</v>
      </c>
      <c r="I31" s="32"/>
      <c r="J31" s="31">
        <f>MEDIAN(J24:J28)</f>
        <v>0.50511975781319562</v>
      </c>
      <c r="K31" s="31">
        <f>MEDIAN(K24:K28)</f>
        <v>1.4762479264062736</v>
      </c>
      <c r="L31" s="31">
        <f>MEDIAN(L24:L28)</f>
        <v>0.85658271753883275</v>
      </c>
      <c r="M31" s="31"/>
      <c r="N31" s="31">
        <f>MEDIAN(N24:N28)</f>
        <v>16.003311258278146</v>
      </c>
      <c r="O31" s="31">
        <f>MEDIAN(O24:O28)</f>
        <v>12.741721854304636</v>
      </c>
      <c r="P31" s="31">
        <f>MEDIAN(P24:P28)</f>
        <v>13.052980132450331</v>
      </c>
      <c r="Q31" s="31"/>
      <c r="R31" s="52"/>
      <c r="S31" s="52"/>
      <c r="T31" s="52"/>
      <c r="U31" s="31">
        <f>MEDIAN(U24:U28)</f>
        <v>14.939510029116791</v>
      </c>
      <c r="V31" s="31">
        <f>MEDIAN(V24:V28)</f>
        <v>19.891460478139134</v>
      </c>
      <c r="W31" s="31">
        <f>MEDIAN(W24:W28)</f>
        <v>20.714420592991917</v>
      </c>
      <c r="X31" s="31">
        <f>MEDIAN(X24:X28)</f>
        <v>2.1052211306131756</v>
      </c>
    </row>
    <row r="32" spans="1:24" x14ac:dyDescent="0.2">
      <c r="A32" s="33"/>
      <c r="B32" s="33"/>
      <c r="C32" s="33"/>
      <c r="D32" s="42"/>
      <c r="E32" s="34"/>
      <c r="F32" s="36"/>
      <c r="G32" s="36"/>
      <c r="H32" s="36"/>
      <c r="I32" s="36"/>
      <c r="J32" s="35"/>
      <c r="K32" s="35"/>
      <c r="L32" s="35"/>
      <c r="M32" s="35"/>
      <c r="N32" s="35"/>
      <c r="O32" s="35"/>
      <c r="P32" s="35"/>
      <c r="Q32" s="35"/>
      <c r="R32" s="53"/>
      <c r="U32" s="35"/>
      <c r="V32" s="35"/>
      <c r="W32" s="35"/>
      <c r="X32" s="35"/>
    </row>
    <row r="33" spans="1:24" x14ac:dyDescent="0.2">
      <c r="A33" s="26" t="s">
        <v>21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 spans="1:24" x14ac:dyDescent="0.2">
      <c r="A34" s="22"/>
      <c r="B34" s="22"/>
      <c r="C34" s="37"/>
      <c r="D34" s="42"/>
      <c r="E34" s="34"/>
      <c r="F34" s="53"/>
      <c r="G34" s="53"/>
      <c r="H34" s="53"/>
      <c r="I34" s="53"/>
      <c r="J34" s="35"/>
      <c r="K34" s="35"/>
      <c r="L34" s="35"/>
      <c r="M34" s="35"/>
      <c r="N34" s="35"/>
      <c r="O34" s="35"/>
      <c r="P34" s="35"/>
      <c r="Q34" s="35"/>
      <c r="R34" s="53"/>
      <c r="U34" s="35"/>
      <c r="V34" s="35"/>
      <c r="W34" s="35"/>
      <c r="X34" s="35"/>
    </row>
    <row r="35" spans="1:24" x14ac:dyDescent="0.2">
      <c r="A35" s="28" t="s">
        <v>19</v>
      </c>
      <c r="B35" s="28"/>
      <c r="C35" s="28"/>
      <c r="D35" s="51">
        <f>+AVERAGE(D14:D18,D24:D28)</f>
        <v>0.36899999999999994</v>
      </c>
      <c r="E35" s="29"/>
      <c r="F35" s="32">
        <f>+AVERAGE(F14:F18,F24:F28)</f>
        <v>0.5772266061862884</v>
      </c>
      <c r="G35" s="32">
        <f t="shared" ref="G35:H35" si="0">+AVERAGE(G14:G18,G24:G28)</f>
        <v>0.39631447946768483</v>
      </c>
      <c r="H35" s="32">
        <f t="shared" si="0"/>
        <v>7.3224038984740086E-2</v>
      </c>
      <c r="I35" s="32"/>
      <c r="J35" s="31">
        <f>+AVERAGE(J14:J18,J24:J28)</f>
        <v>0.40639274019932348</v>
      </c>
      <c r="K35" s="31">
        <f>+AVERAGE(K14:K18,K24:K28)</f>
        <v>1.4656918953658393</v>
      </c>
      <c r="L35" s="31">
        <f>+AVERAGE(L14:L18,L24:L28)</f>
        <v>0.49139782935627307</v>
      </c>
      <c r="M35" s="31"/>
      <c r="N35" s="31">
        <f t="shared" ref="N35:O35" si="1">+AVERAGE(N14:N18,N24:N28)</f>
        <v>31.387075596614796</v>
      </c>
      <c r="O35" s="31">
        <f t="shared" si="1"/>
        <v>21.976781386051321</v>
      </c>
      <c r="P35" s="31">
        <f t="shared" ref="P35" si="2">+AVERAGE(P14:P18,P24:P28)</f>
        <v>24.957672493432117</v>
      </c>
      <c r="Q35" s="54"/>
      <c r="R35" s="55"/>
      <c r="S35" s="60"/>
      <c r="T35" s="60"/>
      <c r="U35" s="31">
        <f t="shared" ref="U35:X35" si="3">+AVERAGE(U14:U18,U24:U28)</f>
        <v>15.826179422805097</v>
      </c>
      <c r="V35" s="31">
        <f t="shared" si="3"/>
        <v>19.887245023562169</v>
      </c>
      <c r="W35" s="31">
        <f t="shared" si="3"/>
        <v>26.38301905710798</v>
      </c>
      <c r="X35" s="31">
        <f t="shared" si="3"/>
        <v>2.6059154089066783</v>
      </c>
    </row>
    <row r="36" spans="1:24" x14ac:dyDescent="0.2">
      <c r="A36" s="28" t="s">
        <v>20</v>
      </c>
      <c r="B36" s="28"/>
      <c r="C36" s="28"/>
      <c r="D36" s="51">
        <f>+AVERAGE(D14:D18,D24:D28)</f>
        <v>0.36899999999999994</v>
      </c>
      <c r="E36" s="29"/>
      <c r="F36" s="32">
        <f>+AVERAGE(F14:F18,F24:F28)</f>
        <v>0.5772266061862884</v>
      </c>
      <c r="G36" s="32">
        <f>+AVERAGE(G14:G18,G24:G28)</f>
        <v>0.39631447946768483</v>
      </c>
      <c r="H36" s="32">
        <f>+AVERAGE(H14:H18,H24:H28)</f>
        <v>7.3224038984740086E-2</v>
      </c>
      <c r="I36" s="32"/>
      <c r="J36" s="31">
        <f>+MEDIAN(J14:J18,J24:J28)</f>
        <v>0.37714816807992713</v>
      </c>
      <c r="K36" s="31">
        <f>+MEDIAN(K14:K18,K24:K28)</f>
        <v>1.5537126259938345</v>
      </c>
      <c r="L36" s="31">
        <f>+MEDIAN(L14:L18,L24:L28)</f>
        <v>0.44129743365631924</v>
      </c>
      <c r="M36" s="31"/>
      <c r="N36" s="31">
        <f>+MEDIAN(N14:N18,N24:N28)</f>
        <v>16.24916806695002</v>
      </c>
      <c r="O36" s="31">
        <f>+MEDIAN(O14:O18,O24:O28)</f>
        <v>13.174343514216995</v>
      </c>
      <c r="P36" s="31">
        <f>+MEDIAN(P14:P18,P24:P28)</f>
        <v>13.587435339857006</v>
      </c>
      <c r="Q36" s="54"/>
      <c r="R36" s="55"/>
      <c r="S36" s="60"/>
      <c r="T36" s="60"/>
      <c r="U36" s="31">
        <f>+MEDIAN(U14:U18,U24:U28)</f>
        <v>14.85179395891068</v>
      </c>
      <c r="V36" s="31">
        <f>+MEDIAN(V14:V18,V24:V28)</f>
        <v>18.568295016240608</v>
      </c>
      <c r="W36" s="31">
        <f>+MEDIAN(W14:W18,W24:W28)</f>
        <v>23.875056694668224</v>
      </c>
      <c r="X36" s="31">
        <f>+MEDIAN(X14:X18,X24:X28)</f>
        <v>2.0792857491378411</v>
      </c>
    </row>
    <row r="37" spans="1:24" x14ac:dyDescent="0.2">
      <c r="A37" s="33"/>
      <c r="B37" s="33"/>
      <c r="C37" s="33"/>
      <c r="D37" s="42"/>
      <c r="E37" s="34"/>
      <c r="F37" s="36"/>
      <c r="G37" s="36"/>
      <c r="H37" s="36"/>
      <c r="I37" s="36"/>
      <c r="J37" s="35"/>
      <c r="K37" s="35"/>
      <c r="L37" s="35"/>
      <c r="M37" s="35"/>
      <c r="N37" s="35"/>
      <c r="O37" s="35"/>
      <c r="P37" s="35"/>
      <c r="Q37" s="35"/>
      <c r="R37" s="53"/>
      <c r="U37" s="35"/>
      <c r="V37" s="35"/>
      <c r="W37" s="35"/>
      <c r="X37" s="35"/>
    </row>
    <row r="38" spans="1:24" x14ac:dyDescent="0.2">
      <c r="A38" s="28" t="s">
        <v>22</v>
      </c>
      <c r="B38" s="28"/>
      <c r="C38" s="28"/>
      <c r="D38" s="51">
        <f>+MAX(D14:D18,D24:D28)</f>
        <v>1.1599999999999999</v>
      </c>
      <c r="E38" s="29"/>
      <c r="F38" s="32">
        <f>+MAX(F14:F18,F24:F28)</f>
        <v>3.3493077699293639</v>
      </c>
      <c r="G38" s="32">
        <f>+MAX(G14:G18,G24:G28)</f>
        <v>1.1220486741736289</v>
      </c>
      <c r="H38" s="32">
        <f>+MAX(H14:H18,H24:H28)</f>
        <v>0.11544117647058824</v>
      </c>
      <c r="I38" s="32"/>
      <c r="J38" s="31">
        <f>+MAX(J14:J18,J24:J28)</f>
        <v>0.76351993244431937</v>
      </c>
      <c r="K38" s="31">
        <f>+MAX(K14:K18,K24:K28)</f>
        <v>2.7529925590423812</v>
      </c>
      <c r="L38" s="31">
        <f>+MAX(L14:L18,L24:L28)</f>
        <v>1.7403752830799095</v>
      </c>
      <c r="M38" s="31"/>
      <c r="N38" s="31">
        <f>+MAX(N14:N18,N24:N28)</f>
        <v>85.843537414965979</v>
      </c>
      <c r="O38" s="31">
        <f>+MAX(O14:O18,O24:O28)</f>
        <v>66.414965986394563</v>
      </c>
      <c r="P38" s="31">
        <f>+MAX(P14:P18,P24:P28)</f>
        <v>72.027210884353735</v>
      </c>
      <c r="Q38" s="54"/>
      <c r="R38" s="55"/>
      <c r="S38" s="60"/>
      <c r="T38" s="60"/>
      <c r="U38" s="31">
        <f>+MAX(U14:U18,U24:U28)</f>
        <v>27.081183529898617</v>
      </c>
      <c r="V38" s="31">
        <f>+MAX(V14:V18,V24:V28)</f>
        <v>33.202272957889399</v>
      </c>
      <c r="W38" s="31">
        <f>+MAX(W14:W18,W24:W28)</f>
        <v>42.941197798640339</v>
      </c>
      <c r="X38" s="31">
        <f>+MAX(X14:X18,X24:X28)</f>
        <v>5.843007142857144</v>
      </c>
    </row>
    <row r="39" spans="1:24" x14ac:dyDescent="0.2">
      <c r="A39" s="28" t="s">
        <v>23</v>
      </c>
      <c r="B39" s="28"/>
      <c r="C39" s="28"/>
      <c r="D39" s="51">
        <f>+MAX(D14:D18,D24:D28)</f>
        <v>1.1599999999999999</v>
      </c>
      <c r="E39" s="29"/>
      <c r="F39" s="32">
        <f>+MIN(F14:F18,F24:F28)</f>
        <v>0.12278221838860137</v>
      </c>
      <c r="G39" s="32">
        <f>+MIN(G14:G18,G24:G28)</f>
        <v>0.13169456066945606</v>
      </c>
      <c r="H39" s="32">
        <f>+MIN(H14:H18,H24:H28)</f>
        <v>3.6483236257208264E-2</v>
      </c>
      <c r="I39" s="32"/>
      <c r="J39" s="31">
        <f>+MIN(J14:J18,J24:J28)</f>
        <v>0.17932688812967942</v>
      </c>
      <c r="K39" s="31">
        <f>+MIN(K14:K18,K24:K28)</f>
        <v>0.39099770187812027</v>
      </c>
      <c r="L39" s="31">
        <f>+MIN(L14:L18,L24:L28)</f>
        <v>-0.86631270306680408</v>
      </c>
      <c r="M39" s="31"/>
      <c r="N39" s="31">
        <f>+MIN(N14:N18,N24:N28)</f>
        <v>9.212301587301587</v>
      </c>
      <c r="O39" s="31">
        <f>+MIN(O14:O18,O24:O28)</f>
        <v>7.0238095238095237</v>
      </c>
      <c r="P39" s="31">
        <f>+MIN(P14:P18,P24:P28)</f>
        <v>6.9819548872180448</v>
      </c>
      <c r="Q39" s="54"/>
      <c r="R39" s="55"/>
      <c r="S39" s="60"/>
      <c r="T39" s="60"/>
      <c r="U39" s="31">
        <f>+MIN(U14:U18,U24:U28)</f>
        <v>10.521878779069768</v>
      </c>
      <c r="V39" s="31">
        <f>+MIN(V14:V18,V24:V28)</f>
        <v>13.674712615752783</v>
      </c>
      <c r="W39" s="31">
        <f>+MIN(W14:W18,W24:W28)</f>
        <v>16.480698168789811</v>
      </c>
      <c r="X39" s="31">
        <f>+MIN(X14:X18,X24:X28)</f>
        <v>1.3621323925110547</v>
      </c>
    </row>
    <row r="40" spans="1:24" x14ac:dyDescent="0.2">
      <c r="A40" s="56"/>
      <c r="B40" s="57"/>
      <c r="C40" s="57"/>
      <c r="D40" s="57"/>
      <c r="E40" s="57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9"/>
      <c r="S40" s="5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Data &amp; Forecasting </vt:lpstr>
      <vt:lpstr>WACC</vt:lpstr>
      <vt:lpstr>Operating Forecast &amp; Valuation</vt:lpstr>
      <vt:lpstr>Benchmarking Analysis</vt:lpstr>
      <vt:lpstr>Benchmarking Analysis (x) LTM</vt:lpstr>
      <vt:lpstr>Benchmarking Analysis (x) NTM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Campinos</dc:creator>
  <cp:lastModifiedBy>Antonio Campinos</cp:lastModifiedBy>
  <dcterms:created xsi:type="dcterms:W3CDTF">2026-03-25T08:39:55Z</dcterms:created>
  <dcterms:modified xsi:type="dcterms:W3CDTF">2026-03-30T10:14:12Z</dcterms:modified>
</cp:coreProperties>
</file>