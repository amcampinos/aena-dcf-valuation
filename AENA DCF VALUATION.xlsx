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toniomaria/Desktop/Finance &amp; Career /AENA/"/>
    </mc:Choice>
  </mc:AlternateContent>
  <xr:revisionPtr revIDLastSave="0" documentId="13_ncr:1_{7CDCD675-B1D5-0E46-855B-9AB3E49691F7}" xr6:coauthVersionLast="47" xr6:coauthVersionMax="47" xr10:uidLastSave="{00000000-0000-0000-0000-000000000000}"/>
  <bookViews>
    <workbookView xWindow="0" yWindow="760" windowWidth="29400" windowHeight="18360" activeTab="2" xr2:uid="{00000000-000D-0000-FFFF-FFFF00000000}"/>
  </bookViews>
  <sheets>
    <sheet name="Cover" sheetId="5" r:id="rId1"/>
    <sheet name="Operating Forecast" sheetId="4" r:id="rId2"/>
    <sheet name="Multiples" sheetId="6" r:id="rId3"/>
    <sheet name="Cost of Capital" sheetId="3" r:id="rId4"/>
    <sheet name="Valuation" sheetId="7" r:id="rId5"/>
    <sheet name="Sensitivity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D20" i="1"/>
  <c r="I16" i="6"/>
  <c r="I15" i="6"/>
  <c r="D20" i="7"/>
  <c r="I18" i="7"/>
  <c r="J20" i="4"/>
  <c r="I20" i="4"/>
  <c r="J10" i="7"/>
  <c r="M27" i="4"/>
  <c r="J27" i="4"/>
  <c r="K27" i="4" s="1"/>
  <c r="L27" i="4" s="1"/>
  <c r="I27" i="4"/>
  <c r="D14" i="3"/>
  <c r="D11" i="3"/>
  <c r="K8" i="4"/>
  <c r="J8" i="4"/>
  <c r="I8" i="4"/>
  <c r="J29" i="4"/>
  <c r="K29" i="4" s="1"/>
  <c r="L29" i="4" s="1"/>
  <c r="M29" i="4" s="1"/>
  <c r="I29" i="4"/>
  <c r="M28" i="4"/>
  <c r="J28" i="4"/>
  <c r="K28" i="4" s="1"/>
  <c r="L28" i="4" s="1"/>
  <c r="I28" i="4"/>
  <c r="E32" i="4"/>
  <c r="F32" i="4"/>
  <c r="G32" i="4"/>
  <c r="H32" i="4"/>
  <c r="D32" i="4"/>
  <c r="E35" i="4"/>
  <c r="F35" i="4"/>
  <c r="G35" i="4"/>
  <c r="H35" i="4"/>
  <c r="D35" i="4"/>
  <c r="D33" i="4"/>
  <c r="F33" i="4"/>
  <c r="G33" i="4"/>
  <c r="H33" i="4"/>
  <c r="E33" i="4"/>
  <c r="E34" i="4"/>
  <c r="F34" i="4"/>
  <c r="G34" i="4"/>
  <c r="H34" i="4"/>
  <c r="D34" i="4"/>
  <c r="G29" i="4"/>
  <c r="H29" i="4"/>
  <c r="C29" i="4"/>
  <c r="C28" i="4"/>
  <c r="D28" i="4"/>
  <c r="E28" i="4"/>
  <c r="F28" i="4"/>
  <c r="G28" i="4"/>
  <c r="H28" i="4"/>
  <c r="C27" i="4"/>
  <c r="D27" i="4"/>
  <c r="E27" i="4"/>
  <c r="F27" i="4"/>
  <c r="G27" i="4"/>
  <c r="I21" i="4"/>
  <c r="D22" i="4"/>
  <c r="F22" i="4"/>
  <c r="G22" i="4"/>
  <c r="H22" i="4"/>
  <c r="C18" i="4"/>
  <c r="D18" i="4"/>
  <c r="D29" i="4" s="1"/>
  <c r="C16" i="4"/>
  <c r="C22" i="4" s="1"/>
  <c r="D16" i="4"/>
  <c r="D17" i="4" s="1"/>
  <c r="E18" i="4"/>
  <c r="E29" i="4" s="1"/>
  <c r="F18" i="4"/>
  <c r="F19" i="4" s="1"/>
  <c r="E16" i="4"/>
  <c r="E22" i="4" s="1"/>
  <c r="F16" i="4"/>
  <c r="F17" i="4" s="1"/>
  <c r="G10" i="4"/>
  <c r="G11" i="4" s="1"/>
  <c r="G18" i="4"/>
  <c r="G16" i="4"/>
  <c r="H16" i="4"/>
  <c r="E14" i="7"/>
  <c r="D58" i="7"/>
  <c r="I14" i="7"/>
  <c r="H14" i="7"/>
  <c r="H16" i="7" s="1"/>
  <c r="G14" i="7"/>
  <c r="G16" i="7" s="1"/>
  <c r="F14" i="7"/>
  <c r="G42" i="7"/>
  <c r="I41" i="7"/>
  <c r="I42" i="7" s="1"/>
  <c r="H41" i="7"/>
  <c r="H42" i="7" s="1"/>
  <c r="G41" i="7"/>
  <c r="F41" i="7"/>
  <c r="E41" i="7"/>
  <c r="E42" i="7" s="1"/>
  <c r="D41" i="7"/>
  <c r="D36" i="7"/>
  <c r="D37" i="7" s="1"/>
  <c r="E35" i="7"/>
  <c r="E36" i="7" s="1"/>
  <c r="E21" i="4"/>
  <c r="F21" i="4"/>
  <c r="G21" i="4"/>
  <c r="H21" i="4"/>
  <c r="D21" i="4"/>
  <c r="D19" i="4"/>
  <c r="G19" i="4"/>
  <c r="H19" i="4"/>
  <c r="C19" i="4"/>
  <c r="G17" i="4"/>
  <c r="H17" i="4"/>
  <c r="C17" i="4"/>
  <c r="D15" i="4"/>
  <c r="E15" i="4"/>
  <c r="F15" i="4"/>
  <c r="G15" i="4"/>
  <c r="H15" i="4"/>
  <c r="C15" i="4"/>
  <c r="D13" i="4"/>
  <c r="E13" i="4"/>
  <c r="F13" i="4"/>
  <c r="G13" i="4"/>
  <c r="H13" i="4"/>
  <c r="C13" i="4"/>
  <c r="E10" i="4"/>
  <c r="E11" i="4" s="1"/>
  <c r="F10" i="4"/>
  <c r="F11" i="4" s="1"/>
  <c r="H10" i="4"/>
  <c r="C10" i="4"/>
  <c r="C11" i="4" s="1"/>
  <c r="D10" i="4"/>
  <c r="D11" i="4" s="1"/>
  <c r="E9" i="4"/>
  <c r="F9" i="4"/>
  <c r="G9" i="4"/>
  <c r="H9" i="4"/>
  <c r="I9" i="4"/>
  <c r="D9" i="4"/>
  <c r="H27" i="4"/>
  <c r="I43" i="4"/>
  <c r="E46" i="4"/>
  <c r="H45" i="4"/>
  <c r="H46" i="4" s="1"/>
  <c r="G45" i="4"/>
  <c r="G46" i="4" s="1"/>
  <c r="F45" i="4"/>
  <c r="E45" i="4"/>
  <c r="F46" i="4" s="1"/>
  <c r="D45" i="4"/>
  <c r="C45" i="4"/>
  <c r="D46" i="4" s="1"/>
  <c r="H44" i="4"/>
  <c r="G44" i="4"/>
  <c r="F44" i="4"/>
  <c r="E44" i="4"/>
  <c r="D44" i="4"/>
  <c r="C44" i="4"/>
  <c r="H42" i="4"/>
  <c r="G42" i="4"/>
  <c r="F42" i="4"/>
  <c r="F47" i="4" s="1"/>
  <c r="E42" i="4"/>
  <c r="E47" i="4" s="1"/>
  <c r="D42" i="4"/>
  <c r="D47" i="4" s="1"/>
  <c r="C42" i="4"/>
  <c r="I40" i="4"/>
  <c r="I41" i="4" s="1"/>
  <c r="I42" i="4" s="1"/>
  <c r="M14" i="6"/>
  <c r="F42" i="7" l="1"/>
  <c r="D42" i="7"/>
  <c r="F16" i="7"/>
  <c r="E16" i="7"/>
  <c r="I14" i="4"/>
  <c r="I18" i="4"/>
  <c r="I12" i="4"/>
  <c r="I13" i="4" s="1"/>
  <c r="I16" i="4"/>
  <c r="I19" i="4"/>
  <c r="E19" i="4"/>
  <c r="I15" i="4"/>
  <c r="F29" i="4"/>
  <c r="E17" i="4"/>
  <c r="H11" i="4"/>
  <c r="D43" i="7"/>
  <c r="D39" i="7"/>
  <c r="D44" i="7"/>
  <c r="E37" i="7"/>
  <c r="E39" i="7" s="1"/>
  <c r="I16" i="7"/>
  <c r="F35" i="7"/>
  <c r="I44" i="4"/>
  <c r="I47" i="4" s="1"/>
  <c r="J40" i="4"/>
  <c r="I45" i="4"/>
  <c r="I46" i="4" s="1"/>
  <c r="H10" i="6"/>
  <c r="O10" i="6" s="1"/>
  <c r="J10" i="6"/>
  <c r="F14" i="6"/>
  <c r="P14" i="6" s="1"/>
  <c r="F13" i="6"/>
  <c r="H13" i="6" s="1"/>
  <c r="F12" i="6"/>
  <c r="F11" i="6"/>
  <c r="P11" i="6" s="1"/>
  <c r="F9" i="6"/>
  <c r="H9" i="6" s="1"/>
  <c r="M9" i="6" s="1"/>
  <c r="F10" i="6"/>
  <c r="O14" i="6"/>
  <c r="N14" i="6"/>
  <c r="P13" i="6"/>
  <c r="O13" i="6"/>
  <c r="N13" i="6"/>
  <c r="M13" i="6"/>
  <c r="L16" i="6"/>
  <c r="K16" i="6"/>
  <c r="J16" i="6"/>
  <c r="G16" i="6"/>
  <c r="E16" i="6"/>
  <c r="D16" i="6"/>
  <c r="L15" i="6"/>
  <c r="K15" i="6"/>
  <c r="J15" i="6"/>
  <c r="G15" i="6"/>
  <c r="E15" i="6"/>
  <c r="D15" i="6"/>
  <c r="D15" i="3"/>
  <c r="I10" i="4" l="1"/>
  <c r="I11" i="4" s="1"/>
  <c r="J18" i="4"/>
  <c r="J19" i="4" s="1"/>
  <c r="J12" i="4"/>
  <c r="J13" i="4" s="1"/>
  <c r="I17" i="4"/>
  <c r="I22" i="4"/>
  <c r="J14" i="4"/>
  <c r="J9" i="4"/>
  <c r="J21" i="4"/>
  <c r="K20" i="4" s="1"/>
  <c r="E43" i="7"/>
  <c r="E44" i="7"/>
  <c r="D22" i="7"/>
  <c r="D23" i="7" s="1"/>
  <c r="G35" i="7"/>
  <c r="F36" i="7"/>
  <c r="F37" i="7" s="1"/>
  <c r="N9" i="6"/>
  <c r="O9" i="6"/>
  <c r="P9" i="6"/>
  <c r="P12" i="6"/>
  <c r="H12" i="6"/>
  <c r="H11" i="6"/>
  <c r="O11" i="6" s="1"/>
  <c r="F16" i="6"/>
  <c r="K40" i="4"/>
  <c r="J45" i="4"/>
  <c r="J46" i="4" s="1"/>
  <c r="J43" i="4"/>
  <c r="J44" i="4"/>
  <c r="J41" i="4"/>
  <c r="J42" i="4" s="1"/>
  <c r="M11" i="6"/>
  <c r="M10" i="6"/>
  <c r="N10" i="6"/>
  <c r="P10" i="6"/>
  <c r="F15" i="6"/>
  <c r="P16" i="6" l="1"/>
  <c r="K9" i="4"/>
  <c r="L8" i="4" s="1"/>
  <c r="K21" i="4"/>
  <c r="L20" i="4" s="1"/>
  <c r="J16" i="4"/>
  <c r="J17" i="4" s="1"/>
  <c r="J10" i="4"/>
  <c r="J11" i="4" s="1"/>
  <c r="J15" i="4"/>
  <c r="K18" i="4"/>
  <c r="K19" i="4" s="1"/>
  <c r="K12" i="4"/>
  <c r="K13" i="4" s="1"/>
  <c r="K14" i="4"/>
  <c r="F39" i="7"/>
  <c r="F43" i="7"/>
  <c r="F44" i="7"/>
  <c r="G36" i="7"/>
  <c r="G37" i="7" s="1"/>
  <c r="H35" i="7"/>
  <c r="N12" i="6"/>
  <c r="M12" i="6"/>
  <c r="M16" i="6" s="1"/>
  <c r="O12" i="6"/>
  <c r="N11" i="6"/>
  <c r="N16" i="6" s="1"/>
  <c r="J47" i="4"/>
  <c r="K41" i="4"/>
  <c r="K42" i="4" s="1"/>
  <c r="K44" i="4"/>
  <c r="L40" i="4"/>
  <c r="K45" i="4"/>
  <c r="K46" i="4" s="1"/>
  <c r="K43" i="4"/>
  <c r="K47" i="4" s="1"/>
  <c r="M15" i="6"/>
  <c r="P15" i="6"/>
  <c r="H15" i="6"/>
  <c r="H16" i="6"/>
  <c r="J22" i="4" l="1"/>
  <c r="K10" i="4"/>
  <c r="K11" i="4" s="1"/>
  <c r="K16" i="4"/>
  <c r="K15" i="4"/>
  <c r="L12" i="4"/>
  <c r="L13" i="4" s="1"/>
  <c r="L18" i="4"/>
  <c r="L19" i="4" s="1"/>
  <c r="L21" i="4"/>
  <c r="M20" i="4" s="1"/>
  <c r="L9" i="4"/>
  <c r="M8" i="4" s="1"/>
  <c r="L14" i="4"/>
  <c r="I35" i="7"/>
  <c r="I36" i="7" s="1"/>
  <c r="H36" i="7"/>
  <c r="H37" i="7" s="1"/>
  <c r="G39" i="7"/>
  <c r="G44" i="7"/>
  <c r="G43" i="7"/>
  <c r="N15" i="6"/>
  <c r="O16" i="6"/>
  <c r="O15" i="6"/>
  <c r="L41" i="4"/>
  <c r="L42" i="4" s="1"/>
  <c r="L44" i="4"/>
  <c r="L45" i="4"/>
  <c r="L46" i="4" s="1"/>
  <c r="L43" i="4"/>
  <c r="M9" i="4" l="1"/>
  <c r="M14" i="4"/>
  <c r="L10" i="4"/>
  <c r="L11" i="4" s="1"/>
  <c r="L16" i="4"/>
  <c r="L15" i="4"/>
  <c r="K22" i="4"/>
  <c r="K17" i="4"/>
  <c r="H44" i="7"/>
  <c r="H39" i="7"/>
  <c r="H43" i="7"/>
  <c r="I37" i="7"/>
  <c r="L47" i="4"/>
  <c r="L22" i="4" l="1"/>
  <c r="L17" i="4"/>
  <c r="I44" i="7"/>
  <c r="I39" i="7"/>
  <c r="I43" i="7"/>
  <c r="M15" i="4"/>
  <c r="M12" i="4" l="1"/>
  <c r="M13" i="4" s="1"/>
  <c r="M18" i="4"/>
  <c r="M19" i="4" s="1"/>
  <c r="M21" i="4"/>
  <c r="E18" i="1"/>
  <c r="M16" i="4"/>
  <c r="M22" i="4" l="1"/>
  <c r="M17" i="4"/>
  <c r="M10" i="4"/>
  <c r="M11" i="4" l="1"/>
  <c r="E19" i="1"/>
</calcChain>
</file>

<file path=xl/sharedStrings.xml><?xml version="1.0" encoding="utf-8"?>
<sst xmlns="http://schemas.openxmlformats.org/spreadsheetml/2006/main" count="156" uniqueCount="112">
  <si>
    <t>AENA</t>
  </si>
  <si>
    <t xml:space="preserve">Sensitivity table </t>
  </si>
  <si>
    <t>Unlevered DCF Valuation</t>
  </si>
  <si>
    <t>FCFF</t>
  </si>
  <si>
    <t>Discount Factor</t>
  </si>
  <si>
    <t>PV of FCFF</t>
  </si>
  <si>
    <t>Terminal Value</t>
  </si>
  <si>
    <t>PV of Terminal Value</t>
  </si>
  <si>
    <t>Enterprise Value</t>
  </si>
  <si>
    <t>Equity Value</t>
  </si>
  <si>
    <t>Implied Share Price</t>
  </si>
  <si>
    <t>Discounted Cash Flow Analysis</t>
  </si>
  <si>
    <t>Cost of Capital Assumptions</t>
  </si>
  <si>
    <t>Risk-free rate</t>
  </si>
  <si>
    <t>Beta</t>
  </si>
  <si>
    <t>Market risk premium</t>
  </si>
  <si>
    <t>Cost of equity</t>
  </si>
  <si>
    <t>Cost of debt</t>
  </si>
  <si>
    <t>Tax rate</t>
  </si>
  <si>
    <t>Debt weight</t>
  </si>
  <si>
    <t>Equity weight</t>
  </si>
  <si>
    <t>WACC</t>
  </si>
  <si>
    <t>Terminal growth (g)</t>
  </si>
  <si>
    <t>Net debt</t>
  </si>
  <si>
    <t>Diluted shares out</t>
  </si>
  <si>
    <t>Income Statement / Cash Flow Build</t>
  </si>
  <si>
    <t>Revenue</t>
  </si>
  <si>
    <t>EBIT</t>
  </si>
  <si>
    <t>NOPAT</t>
  </si>
  <si>
    <t>D&amp;A</t>
  </si>
  <si>
    <t>Capex</t>
  </si>
  <si>
    <t>NWC</t>
  </si>
  <si>
    <t>Change in NWC</t>
  </si>
  <si>
    <t>N/A</t>
  </si>
  <si>
    <t>Forecast Drivers / Assumptions</t>
  </si>
  <si>
    <t>EBIT/Revenue</t>
  </si>
  <si>
    <t>D&amp;A % Revenue</t>
  </si>
  <si>
    <t>Capex % Revenue</t>
  </si>
  <si>
    <t>Tax Rate %</t>
  </si>
  <si>
    <t>Total Passengers</t>
  </si>
  <si>
    <t xml:space="preserve">Revenue growth % </t>
  </si>
  <si>
    <t>Passenger growth %</t>
  </si>
  <si>
    <t>Revenue p/passenger growth %</t>
  </si>
  <si>
    <t xml:space="preserve">Forecast growth (RPP*P) </t>
  </si>
  <si>
    <t>AENA DCF Valuation</t>
  </si>
  <si>
    <t>DCF Analysis</t>
  </si>
  <si>
    <t>ANTÓNIO MARIA</t>
  </si>
  <si>
    <t>DE BOURA LOBO CAMPINOS</t>
  </si>
  <si>
    <t>Forecasted values</t>
  </si>
  <si>
    <t>Valuation Diagnostics</t>
  </si>
  <si>
    <t>Invested Capital</t>
  </si>
  <si>
    <t>ROIC</t>
  </si>
  <si>
    <t>Spread</t>
  </si>
  <si>
    <t>Reinvestment</t>
  </si>
  <si>
    <t>Reinvestment rate</t>
  </si>
  <si>
    <t>ROIC * Reinvestment</t>
  </si>
  <si>
    <t>Actual Revenue growth</t>
  </si>
  <si>
    <t>Net PP&amp;E</t>
  </si>
  <si>
    <t>Implied growth</t>
  </si>
  <si>
    <t>Market Data</t>
  </si>
  <si>
    <t>Financial Data</t>
  </si>
  <si>
    <t>Multiple Valuation</t>
  </si>
  <si>
    <t>Share Price</t>
  </si>
  <si>
    <t>Shares Outstanding</t>
  </si>
  <si>
    <t>Market Cap</t>
  </si>
  <si>
    <t>Net Financial Debt</t>
  </si>
  <si>
    <t>Enterprise Value (EV)</t>
  </si>
  <si>
    <t>Sales</t>
  </si>
  <si>
    <t>EBITDA</t>
  </si>
  <si>
    <t>Net Income</t>
  </si>
  <si>
    <t>EV/Sales</t>
  </si>
  <si>
    <t>EV/EBIT</t>
  </si>
  <si>
    <t>EV/EBITDA</t>
  </si>
  <si>
    <t>P/E</t>
  </si>
  <si>
    <t>Company Name</t>
  </si>
  <si>
    <t>(share)</t>
  </si>
  <si>
    <t>x</t>
  </si>
  <si>
    <t>Average</t>
  </si>
  <si>
    <t>Median</t>
  </si>
  <si>
    <t>Multiples</t>
  </si>
  <si>
    <t>Flughafen Zürich AG </t>
  </si>
  <si>
    <t>Aéroports de Paris SA</t>
  </si>
  <si>
    <t>Fraport AG</t>
  </si>
  <si>
    <t>Copenhagen Airport</t>
  </si>
  <si>
    <t>Corporación América Airports</t>
  </si>
  <si>
    <t>Q4 --&gt; 2024</t>
  </si>
  <si>
    <t>H1/H2 2025/2024</t>
  </si>
  <si>
    <t xml:space="preserve">    EBITDA Margin %</t>
  </si>
  <si>
    <t xml:space="preserve">    Revenue Growth</t>
  </si>
  <si>
    <t xml:space="preserve">    % of revenue</t>
  </si>
  <si>
    <t xml:space="preserve">    EBIT Margin %</t>
  </si>
  <si>
    <t xml:space="preserve">    NOPAT Margin %</t>
  </si>
  <si>
    <t xml:space="preserve">    % of Revenue</t>
  </si>
  <si>
    <t>(EUR in thousands, fiscal year ending December 31)</t>
  </si>
  <si>
    <t>Bear</t>
  </si>
  <si>
    <t>Base</t>
  </si>
  <si>
    <t>Bull</t>
  </si>
  <si>
    <t>Assumption</t>
  </si>
  <si>
    <t>Revenue growth</t>
  </si>
  <si>
    <t xml:space="preserve">EBITDA growth </t>
  </si>
  <si>
    <t>Exit multiple</t>
  </si>
  <si>
    <t xml:space="preserve">Growth rate </t>
  </si>
  <si>
    <t>WACC / Terminal g</t>
  </si>
  <si>
    <t xml:space="preserve">  - Net Debt</t>
  </si>
  <si>
    <t>DCF implied share price</t>
  </si>
  <si>
    <t>Market price (end. 2025)</t>
  </si>
  <si>
    <t>Upside / Downside</t>
  </si>
  <si>
    <t>Valuation Summary</t>
  </si>
  <si>
    <t xml:space="preserve">  - Net debt </t>
  </si>
  <si>
    <t>(EUR, fiscal year ending December 31)</t>
  </si>
  <si>
    <t>(fiscal year ending December 31)</t>
  </si>
  <si>
    <t>Forecasts, CoC, Multiples, Valuation &amp; 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</si>
</sst>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#,##0.00;\(#,##0.00\)"/>
    <numFmt numFmtId="168" formatCode="0.00\x"/>
    <numFmt numFmtId="185" formatCode="_-* #,##0.00_-;\-* #,##0.00_-;_-* &quot;-&quot;???_-;_-@_-"/>
  </numFmts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MS Sans Serif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 Narrow (Body)"/>
    </font>
    <font>
      <sz val="12"/>
      <color rgb="FF000000"/>
      <name val="Aptos Narrow (Body)"/>
    </font>
    <font>
      <sz val="10"/>
      <name val="Arial"/>
      <family val="2"/>
    </font>
    <font>
      <i/>
      <sz val="10"/>
      <color theme="0"/>
      <name val="Calibri"/>
      <family val="2"/>
      <scheme val="minor"/>
    </font>
    <font>
      <sz val="48"/>
      <name val="Franklin Gothic Medium Cond"/>
      <family val="2"/>
    </font>
    <font>
      <sz val="10"/>
      <color indexed="12"/>
      <name val="Arial"/>
      <family val="2"/>
    </font>
    <font>
      <i/>
      <sz val="26"/>
      <name val="Garamond"/>
      <family val="1"/>
    </font>
    <font>
      <sz val="24"/>
      <name val="Franklin Gothic Medium Cond"/>
      <family val="2"/>
    </font>
    <font>
      <sz val="18"/>
      <name val="Garamond"/>
      <family val="1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Aptos Narrow"/>
    </font>
    <font>
      <b/>
      <sz val="10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7" fillId="3" borderId="0" applyNumberFormat="0" applyBorder="0" applyAlignment="0" applyProtection="0"/>
    <xf numFmtId="0" fontId="2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15" fillId="0" borderId="0" applyFill="0" applyBorder="0" applyProtection="0">
      <protection locked="0"/>
    </xf>
    <xf numFmtId="0" fontId="15" fillId="0" borderId="0"/>
  </cellStyleXfs>
  <cellXfs count="160">
    <xf numFmtId="0" fontId="0" fillId="0" borderId="0" xfId="0"/>
    <xf numFmtId="0" fontId="7" fillId="3" borderId="0" xfId="3" applyBorder="1"/>
    <xf numFmtId="0" fontId="7" fillId="3" borderId="0" xfId="3"/>
    <xf numFmtId="0" fontId="5" fillId="3" borderId="0" xfId="3" applyFont="1" applyBorder="1"/>
    <xf numFmtId="0" fontId="9" fillId="3" borderId="0" xfId="3" applyFont="1" applyBorder="1"/>
    <xf numFmtId="0" fontId="10" fillId="3" borderId="0" xfId="3" applyFont="1" applyBorder="1"/>
    <xf numFmtId="0" fontId="11" fillId="3" borderId="0" xfId="3" applyFont="1" applyBorder="1"/>
    <xf numFmtId="43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3" borderId="0" xfId="3" applyBorder="1" applyProtection="1"/>
    <xf numFmtId="0" fontId="7" fillId="3" borderId="0" xfId="3" applyBorder="1" applyAlignment="1" applyProtection="1">
      <alignment horizontal="center"/>
    </xf>
    <xf numFmtId="0" fontId="2" fillId="0" borderId="0" xfId="0" applyFont="1"/>
    <xf numFmtId="0" fontId="15" fillId="0" borderId="0" xfId="7"/>
    <xf numFmtId="0" fontId="17" fillId="0" borderId="0" xfId="0" applyFont="1" applyAlignment="1">
      <alignment horizontal="center"/>
    </xf>
    <xf numFmtId="0" fontId="18" fillId="0" borderId="0" xfId="7" applyFont="1"/>
    <xf numFmtId="0" fontId="19" fillId="0" borderId="0" xfId="0" applyFont="1" applyAlignment="1">
      <alignment horizontal="center"/>
    </xf>
    <xf numFmtId="0" fontId="19" fillId="0" borderId="0" xfId="7" applyFont="1" applyAlignment="1">
      <alignment horizontal="center"/>
    </xf>
    <xf numFmtId="0" fontId="20" fillId="0" borderId="0" xfId="7" applyFont="1" applyAlignment="1">
      <alignment horizontal="center"/>
    </xf>
    <xf numFmtId="0" fontId="21" fillId="0" borderId="0" xfId="7" applyFont="1"/>
    <xf numFmtId="43" fontId="2" fillId="2" borderId="0" xfId="2" applyNumberFormat="1" applyFont="1" applyBorder="1"/>
    <xf numFmtId="164" fontId="2" fillId="2" borderId="0" xfId="2" applyNumberFormat="1" applyFont="1" applyBorder="1"/>
    <xf numFmtId="0" fontId="5" fillId="3" borderId="2" xfId="3" applyFont="1" applyBorder="1" applyAlignment="1">
      <alignment horizontal="center"/>
    </xf>
    <xf numFmtId="0" fontId="7" fillId="3" borderId="2" xfId="3" applyBorder="1" applyAlignment="1">
      <alignment horizontal="left"/>
    </xf>
    <xf numFmtId="0" fontId="7" fillId="3" borderId="2" xfId="3" applyBorder="1"/>
    <xf numFmtId="9" fontId="7" fillId="3" borderId="2" xfId="3" applyNumberFormat="1" applyBorder="1"/>
    <xf numFmtId="0" fontId="7" fillId="3" borderId="0" xfId="3" applyBorder="1" applyAlignment="1">
      <alignment horizontal="right"/>
    </xf>
    <xf numFmtId="0" fontId="16" fillId="3" borderId="0" xfId="3" applyFont="1" applyBorder="1"/>
    <xf numFmtId="0" fontId="5" fillId="3" borderId="2" xfId="3" applyFont="1" applyBorder="1"/>
    <xf numFmtId="0" fontId="2" fillId="4" borderId="0" xfId="4" applyAlignment="1">
      <alignment horizontal="center"/>
    </xf>
    <xf numFmtId="0" fontId="6" fillId="4" borderId="0" xfId="4" applyFont="1" applyAlignment="1">
      <alignment horizontal="center"/>
    </xf>
    <xf numFmtId="10" fontId="2" fillId="2" borderId="0" xfId="2" applyNumberFormat="1" applyFont="1" applyBorder="1"/>
    <xf numFmtId="0" fontId="6" fillId="2" borderId="0" xfId="2" applyFont="1" applyBorder="1" applyAlignment="1">
      <alignment horizontal="center"/>
    </xf>
    <xf numFmtId="0" fontId="0" fillId="0" borderId="0" xfId="0" applyBorder="1"/>
    <xf numFmtId="43" fontId="0" fillId="0" borderId="0" xfId="0" applyNumberFormat="1" applyBorder="1"/>
    <xf numFmtId="43" fontId="1" fillId="2" borderId="0" xfId="2" applyNumberFormat="1" applyFont="1" applyBorder="1"/>
    <xf numFmtId="43" fontId="0" fillId="0" borderId="0" xfId="0" applyNumberFormat="1" applyBorder="1" applyAlignment="1">
      <alignment horizontal="right"/>
    </xf>
    <xf numFmtId="43" fontId="6" fillId="0" borderId="0" xfId="1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1" applyNumberFormat="1" applyFont="1" applyBorder="1"/>
    <xf numFmtId="164" fontId="26" fillId="0" borderId="0" xfId="1" applyNumberFormat="1" applyFont="1" applyBorder="1"/>
    <xf numFmtId="164" fontId="27" fillId="2" borderId="0" xfId="2" applyNumberFormat="1" applyFont="1" applyBorder="1"/>
    <xf numFmtId="164" fontId="0" fillId="0" borderId="0" xfId="1" applyNumberFormat="1" applyFont="1" applyBorder="1" applyAlignment="1">
      <alignment horizontal="right"/>
    </xf>
    <xf numFmtId="164" fontId="27" fillId="0" borderId="0" xfId="1" applyNumberFormat="1" applyFont="1" applyBorder="1"/>
    <xf numFmtId="164" fontId="26" fillId="0" borderId="0" xfId="1" applyNumberFormat="1" applyFont="1" applyBorder="1" applyAlignment="1">
      <alignment horizontal="right"/>
    </xf>
    <xf numFmtId="164" fontId="27" fillId="2" borderId="0" xfId="2" applyNumberFormat="1" applyFont="1" applyBorder="1" applyAlignment="1">
      <alignment horizontal="right"/>
    </xf>
    <xf numFmtId="0" fontId="7" fillId="3" borderId="0" xfId="3" applyBorder="1" applyAlignment="1">
      <alignment horizontal="center"/>
    </xf>
    <xf numFmtId="167" fontId="0" fillId="0" borderId="0" xfId="0" applyNumberFormat="1" applyBorder="1"/>
    <xf numFmtId="168" fontId="0" fillId="0" borderId="0" xfId="0" applyNumberFormat="1" applyBorder="1"/>
    <xf numFmtId="0" fontId="7" fillId="3" borderId="2" xfId="3" applyBorder="1" applyAlignment="1">
      <alignment horizontal="center"/>
    </xf>
    <xf numFmtId="0" fontId="6" fillId="4" borderId="0" xfId="4" applyNumberFormat="1" applyFont="1" applyAlignment="1">
      <alignment horizontal="center"/>
    </xf>
    <xf numFmtId="0" fontId="5" fillId="3" borderId="2" xfId="3" applyFont="1" applyBorder="1" applyAlignment="1">
      <alignment horizontal="center"/>
    </xf>
    <xf numFmtId="0" fontId="5" fillId="3" borderId="2" xfId="3" applyFont="1" applyBorder="1"/>
    <xf numFmtId="0" fontId="5" fillId="3" borderId="0" xfId="3" applyFont="1"/>
    <xf numFmtId="43" fontId="0" fillId="0" borderId="1" xfId="0" applyNumberFormat="1" applyBorder="1"/>
    <xf numFmtId="43" fontId="2" fillId="2" borderId="1" xfId="2" applyNumberFormat="1" applyFont="1" applyBorder="1"/>
    <xf numFmtId="0" fontId="7" fillId="3" borderId="2" xfId="3" applyBorder="1" applyAlignment="1">
      <alignment horizontal="center"/>
    </xf>
    <xf numFmtId="43" fontId="6" fillId="2" borderId="0" xfId="2" applyNumberFormat="1" applyFont="1" applyAlignment="1">
      <alignment horizontal="center"/>
    </xf>
    <xf numFmtId="43" fontId="3" fillId="2" borderId="0" xfId="2" applyNumberFormat="1" applyFont="1"/>
    <xf numFmtId="43" fontId="3" fillId="2" borderId="0" xfId="2" applyNumberFormat="1" applyFont="1" applyBorder="1"/>
    <xf numFmtId="43" fontId="3" fillId="2" borderId="2" xfId="2" applyNumberFormat="1" applyFont="1" applyBorder="1"/>
    <xf numFmtId="43" fontId="3" fillId="2" borderId="1" xfId="2" applyNumberFormat="1" applyFont="1" applyBorder="1"/>
    <xf numFmtId="43" fontId="0" fillId="0" borderId="0" xfId="0" applyNumberFormat="1" applyFont="1" applyBorder="1"/>
    <xf numFmtId="43" fontId="12" fillId="0" borderId="1" xfId="0" applyNumberFormat="1" applyFont="1" applyBorder="1"/>
    <xf numFmtId="166" fontId="3" fillId="2" borderId="0" xfId="2" applyNumberFormat="1" applyFont="1" applyBorder="1"/>
    <xf numFmtId="167" fontId="29" fillId="0" borderId="0" xfId="0" applyNumberFormat="1" applyFont="1"/>
    <xf numFmtId="0" fontId="5" fillId="3" borderId="0" xfId="3" applyFont="1" applyAlignment="1">
      <alignment horizontal="center"/>
    </xf>
    <xf numFmtId="0" fontId="0" fillId="0" borderId="3" xfId="0" applyBorder="1"/>
    <xf numFmtId="10" fontId="3" fillId="0" borderId="1" xfId="1" applyNumberFormat="1" applyFont="1" applyBorder="1" applyAlignment="1">
      <alignment horizontal="center"/>
    </xf>
    <xf numFmtId="10" fontId="3" fillId="0" borderId="4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2" fontId="0" fillId="0" borderId="0" xfId="0" applyNumberFormat="1" applyBorder="1"/>
    <xf numFmtId="2" fontId="0" fillId="0" borderId="6" xfId="0" applyNumberFormat="1" applyBorder="1"/>
    <xf numFmtId="164" fontId="3" fillId="0" borderId="7" xfId="1" applyNumberFormat="1" applyFont="1" applyBorder="1" applyAlignment="1">
      <alignment horizontal="center"/>
    </xf>
    <xf numFmtId="2" fontId="0" fillId="0" borderId="2" xfId="0" applyNumberFormat="1" applyBorder="1"/>
    <xf numFmtId="2" fontId="0" fillId="0" borderId="8" xfId="0" applyNumberFormat="1" applyBorder="1"/>
    <xf numFmtId="10" fontId="0" fillId="0" borderId="1" xfId="0" applyNumberFormat="1" applyBorder="1"/>
    <xf numFmtId="164" fontId="0" fillId="0" borderId="1" xfId="1" applyNumberFormat="1" applyFont="1" applyBorder="1"/>
    <xf numFmtId="10" fontId="0" fillId="0" borderId="4" xfId="0" applyNumberFormat="1" applyBorder="1"/>
    <xf numFmtId="0" fontId="0" fillId="0" borderId="5" xfId="0" applyBorder="1"/>
    <xf numFmtId="10" fontId="0" fillId="0" borderId="0" xfId="0" applyNumberFormat="1" applyBorder="1"/>
    <xf numFmtId="9" fontId="0" fillId="0" borderId="6" xfId="0" applyNumberFormat="1" applyBorder="1"/>
    <xf numFmtId="0" fontId="0" fillId="0" borderId="7" xfId="0" applyBorder="1"/>
    <xf numFmtId="168" fontId="0" fillId="0" borderId="2" xfId="0" applyNumberFormat="1" applyBorder="1"/>
    <xf numFmtId="2" fontId="0" fillId="0" borderId="8" xfId="0" applyNumberFormat="1" applyBorder="1" applyAlignment="1">
      <alignment horizontal="right"/>
    </xf>
    <xf numFmtId="0" fontId="13" fillId="0" borderId="3" xfId="0" applyFont="1" applyBorder="1"/>
    <xf numFmtId="0" fontId="13" fillId="0" borderId="5" xfId="0" applyFont="1" applyBorder="1"/>
    <xf numFmtId="0" fontId="0" fillId="0" borderId="6" xfId="0" applyBorder="1"/>
    <xf numFmtId="0" fontId="14" fillId="0" borderId="5" xfId="0" applyFont="1" applyBorder="1"/>
    <xf numFmtId="43" fontId="0" fillId="0" borderId="6" xfId="0" applyNumberFormat="1" applyBorder="1"/>
    <xf numFmtId="0" fontId="14" fillId="0" borderId="7" xfId="0" applyFont="1" applyBorder="1"/>
    <xf numFmtId="166" fontId="0" fillId="0" borderId="9" xfId="1" applyNumberFormat="1" applyFont="1" applyBorder="1"/>
    <xf numFmtId="0" fontId="0" fillId="0" borderId="10" xfId="0" applyBorder="1"/>
    <xf numFmtId="10" fontId="0" fillId="0" borderId="10" xfId="1" applyNumberFormat="1" applyFont="1" applyBorder="1"/>
    <xf numFmtId="10" fontId="0" fillId="0" borderId="10" xfId="0" applyNumberFormat="1" applyBorder="1"/>
    <xf numFmtId="166" fontId="0" fillId="0" borderId="10" xfId="1" applyNumberFormat="1" applyFont="1" applyBorder="1"/>
    <xf numFmtId="166" fontId="0" fillId="0" borderId="10" xfId="0" applyNumberFormat="1" applyBorder="1"/>
    <xf numFmtId="43" fontId="0" fillId="0" borderId="10" xfId="0" applyNumberFormat="1" applyBorder="1"/>
    <xf numFmtId="43" fontId="28" fillId="0" borderId="11" xfId="0" applyNumberFormat="1" applyFont="1" applyBorder="1"/>
    <xf numFmtId="0" fontId="23" fillId="0" borderId="3" xfId="0" applyFont="1" applyBorder="1"/>
    <xf numFmtId="167" fontId="23" fillId="0" borderId="1" xfId="0" applyNumberFormat="1" applyFont="1" applyBorder="1"/>
    <xf numFmtId="168" fontId="23" fillId="0" borderId="1" xfId="0" applyNumberFormat="1" applyFont="1" applyBorder="1"/>
    <xf numFmtId="168" fontId="23" fillId="0" borderId="4" xfId="0" applyNumberFormat="1" applyFont="1" applyBorder="1"/>
    <xf numFmtId="168" fontId="0" fillId="0" borderId="6" xfId="0" applyNumberFormat="1" applyBorder="1"/>
    <xf numFmtId="0" fontId="22" fillId="0" borderId="5" xfId="0" applyFont="1" applyBorder="1"/>
    <xf numFmtId="43" fontId="2" fillId="2" borderId="4" xfId="2" applyNumberFormat="1" applyFont="1" applyBorder="1"/>
    <xf numFmtId="0" fontId="25" fillId="0" borderId="5" xfId="0" applyFont="1" applyBorder="1" applyAlignment="1">
      <alignment horizontal="left"/>
    </xf>
    <xf numFmtId="164" fontId="27" fillId="2" borderId="6" xfId="2" applyNumberFormat="1" applyFont="1" applyBorder="1"/>
    <xf numFmtId="43" fontId="1" fillId="2" borderId="6" xfId="2" applyNumberFormat="1" applyFont="1" applyBorder="1"/>
    <xf numFmtId="0" fontId="25" fillId="0" borderId="5" xfId="0" applyFont="1" applyFill="1" applyBorder="1" applyAlignment="1">
      <alignment horizontal="left"/>
    </xf>
    <xf numFmtId="43" fontId="2" fillId="2" borderId="6" xfId="2" applyNumberFormat="1" applyFont="1" applyBorder="1"/>
    <xf numFmtId="164" fontId="27" fillId="2" borderId="6" xfId="2" applyNumberFormat="1" applyFont="1" applyBorder="1" applyAlignment="1">
      <alignment horizontal="right"/>
    </xf>
    <xf numFmtId="0" fontId="6" fillId="0" borderId="12" xfId="0" applyFont="1" applyBorder="1"/>
    <xf numFmtId="43" fontId="6" fillId="0" borderId="13" xfId="1" applyNumberFormat="1" applyFont="1" applyBorder="1" applyAlignment="1">
      <alignment horizontal="right"/>
    </xf>
    <xf numFmtId="43" fontId="6" fillId="2" borderId="13" xfId="2" applyNumberFormat="1" applyFont="1" applyBorder="1"/>
    <xf numFmtId="43" fontId="6" fillId="2" borderId="14" xfId="2" applyNumberFormat="1" applyFont="1" applyBorder="1"/>
    <xf numFmtId="10" fontId="0" fillId="0" borderId="1" xfId="1" applyNumberFormat="1" applyFont="1" applyBorder="1"/>
    <xf numFmtId="164" fontId="2" fillId="2" borderId="1" xfId="2" applyNumberFormat="1" applyFont="1" applyBorder="1"/>
    <xf numFmtId="164" fontId="2" fillId="2" borderId="4" xfId="2" applyNumberFormat="1" applyFont="1" applyBorder="1"/>
    <xf numFmtId="164" fontId="0" fillId="0" borderId="0" xfId="0" applyNumberFormat="1" applyBorder="1"/>
    <xf numFmtId="164" fontId="2" fillId="2" borderId="6" xfId="2" applyNumberFormat="1" applyFont="1" applyBorder="1"/>
    <xf numFmtId="43" fontId="0" fillId="0" borderId="0" xfId="1" applyNumberFormat="1" applyFont="1" applyBorder="1"/>
    <xf numFmtId="10" fontId="2" fillId="2" borderId="6" xfId="2" applyNumberFormat="1" applyFont="1" applyBorder="1"/>
    <xf numFmtId="0" fontId="0" fillId="0" borderId="2" xfId="0" applyBorder="1" applyAlignment="1">
      <alignment horizontal="right"/>
    </xf>
    <xf numFmtId="10" fontId="0" fillId="0" borderId="2" xfId="0" applyNumberFormat="1" applyBorder="1"/>
    <xf numFmtId="10" fontId="2" fillId="2" borderId="2" xfId="2" applyNumberFormat="1" applyFont="1" applyBorder="1"/>
    <xf numFmtId="10" fontId="2" fillId="2" borderId="8" xfId="2" applyNumberFormat="1" applyFont="1" applyBorder="1"/>
    <xf numFmtId="43" fontId="3" fillId="2" borderId="4" xfId="2" applyNumberFormat="1" applyFont="1" applyBorder="1"/>
    <xf numFmtId="43" fontId="3" fillId="2" borderId="6" xfId="2" applyNumberFormat="1" applyFont="1" applyBorder="1"/>
    <xf numFmtId="10" fontId="3" fillId="2" borderId="0" xfId="2" applyNumberFormat="1" applyFont="1" applyBorder="1"/>
    <xf numFmtId="10" fontId="3" fillId="2" borderId="6" xfId="2" applyNumberFormat="1" applyFont="1" applyBorder="1"/>
    <xf numFmtId="166" fontId="0" fillId="0" borderId="0" xfId="0" applyNumberFormat="1" applyBorder="1"/>
    <xf numFmtId="166" fontId="3" fillId="2" borderId="6" xfId="2" applyNumberFormat="1" applyFont="1" applyBorder="1"/>
    <xf numFmtId="0" fontId="3" fillId="2" borderId="0" xfId="2" applyFont="1" applyBorder="1"/>
    <xf numFmtId="0" fontId="3" fillId="2" borderId="6" xfId="2" applyFont="1" applyBorder="1"/>
    <xf numFmtId="165" fontId="0" fillId="0" borderId="0" xfId="0" applyNumberFormat="1" applyBorder="1"/>
    <xf numFmtId="165" fontId="3" fillId="2" borderId="0" xfId="2" applyNumberFormat="1" applyFont="1" applyBorder="1"/>
    <xf numFmtId="165" fontId="3" fillId="2" borderId="6" xfId="2" applyNumberFormat="1" applyFont="1" applyBorder="1"/>
    <xf numFmtId="10" fontId="3" fillId="2" borderId="2" xfId="2" applyNumberFormat="1" applyFont="1" applyBorder="1"/>
    <xf numFmtId="164" fontId="3" fillId="2" borderId="2" xfId="2" applyNumberFormat="1" applyFont="1" applyBorder="1"/>
    <xf numFmtId="164" fontId="3" fillId="2" borderId="8" xfId="2" applyNumberFormat="1" applyFont="1" applyBorder="1"/>
    <xf numFmtId="0" fontId="1" fillId="2" borderId="0" xfId="2" applyFont="1" applyBorder="1"/>
    <xf numFmtId="0" fontId="12" fillId="0" borderId="5" xfId="0" applyFont="1" applyBorder="1" applyAlignment="1">
      <alignment horizontal="center"/>
    </xf>
    <xf numFmtId="0" fontId="12" fillId="0" borderId="12" xfId="0" applyFont="1" applyBorder="1"/>
    <xf numFmtId="43" fontId="3" fillId="2" borderId="8" xfId="2" applyNumberFormat="1" applyFont="1" applyBorder="1"/>
    <xf numFmtId="0" fontId="12" fillId="0" borderId="7" xfId="0" applyFont="1" applyBorder="1"/>
    <xf numFmtId="43" fontId="12" fillId="0" borderId="2" xfId="0" applyNumberFormat="1" applyFont="1" applyBorder="1"/>
    <xf numFmtId="43" fontId="0" fillId="0" borderId="4" xfId="0" applyNumberFormat="1" applyBorder="1"/>
    <xf numFmtId="0" fontId="26" fillId="0" borderId="5" xfId="0" applyFont="1" applyBorder="1"/>
    <xf numFmtId="0" fontId="12" fillId="0" borderId="3" xfId="0" applyFont="1" applyBorder="1"/>
    <xf numFmtId="185" fontId="12" fillId="0" borderId="4" xfId="1" applyNumberFormat="1" applyFont="1" applyBorder="1"/>
    <xf numFmtId="165" fontId="30" fillId="0" borderId="14" xfId="0" applyNumberFormat="1" applyFont="1" applyBorder="1"/>
    <xf numFmtId="0" fontId="31" fillId="0" borderId="3" xfId="0" applyFont="1" applyBorder="1"/>
    <xf numFmtId="167" fontId="0" fillId="0" borderId="1" xfId="0" applyNumberFormat="1" applyFont="1" applyBorder="1"/>
    <xf numFmtId="168" fontId="0" fillId="0" borderId="1" xfId="0" applyNumberFormat="1" applyFont="1" applyBorder="1"/>
    <xf numFmtId="168" fontId="0" fillId="0" borderId="4" xfId="0" applyNumberFormat="1" applyFont="1" applyBorder="1"/>
    <xf numFmtId="0" fontId="31" fillId="0" borderId="7" xfId="0" applyFont="1" applyBorder="1"/>
    <xf numFmtId="167" fontId="0" fillId="0" borderId="2" xfId="0" applyNumberFormat="1" applyFont="1" applyBorder="1"/>
    <xf numFmtId="168" fontId="0" fillId="0" borderId="2" xfId="0" applyNumberFormat="1" applyFont="1" applyBorder="1"/>
    <xf numFmtId="168" fontId="0" fillId="0" borderId="8" xfId="0" applyNumberFormat="1" applyFont="1" applyBorder="1"/>
  </cellXfs>
  <cellStyles count="8">
    <cellStyle name="_x000a_386grabber=M" xfId="5" xr:uid="{B52C3E28-7C4F-4347-98B2-3507D3681DDE}"/>
    <cellStyle name="60% - Accent1" xfId="4" builtinId="32"/>
    <cellStyle name="Accent1" xfId="3" builtinId="29"/>
    <cellStyle name="AFE" xfId="6" xr:uid="{D7F614F3-3DC6-5C4A-AE9C-9FEB4A04F870}"/>
    <cellStyle name="Neutral" xfId="2" builtinId="28"/>
    <cellStyle name="Normal" xfId="0" builtinId="0"/>
    <cellStyle name="Normal_Comparable Companies_Completed v2-18-09" xfId="7" xr:uid="{7DC58894-13C5-5547-8A78-0642158724CC}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22AD-5EB8-7343-9B42-28C8A23EC153}">
  <dimension ref="C6:O21"/>
  <sheetViews>
    <sheetView showGridLines="0" zoomScale="112" workbookViewId="0">
      <selection activeCell="J11" sqref="J11"/>
    </sheetView>
  </sheetViews>
  <sheetFormatPr baseColWidth="10" defaultColWidth="9.1640625" defaultRowHeight="13"/>
  <cols>
    <col min="1" max="16384" width="9.1640625" style="13"/>
  </cols>
  <sheetData>
    <row r="6" spans="7:15" ht="59">
      <c r="G6" s="14" t="s">
        <v>44</v>
      </c>
      <c r="H6" s="15"/>
      <c r="O6" s="15"/>
    </row>
    <row r="7" spans="7:15" ht="34">
      <c r="G7" s="16" t="s">
        <v>111</v>
      </c>
    </row>
    <row r="8" spans="7:15" ht="34">
      <c r="G8" s="17"/>
    </row>
    <row r="12" spans="7:15" ht="30">
      <c r="G12" s="18" t="s">
        <v>45</v>
      </c>
    </row>
    <row r="20" spans="3:3" ht="24">
      <c r="C20" s="19" t="s">
        <v>46</v>
      </c>
    </row>
    <row r="21" spans="3:3" ht="24">
      <c r="C21" s="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E95D-3E2F-EB41-AF43-CF50E43CAAD6}">
  <dimension ref="A1:P35"/>
  <sheetViews>
    <sheetView showGridLines="0" topLeftCell="A6" zoomScale="143" zoomScaleNormal="110" workbookViewId="0">
      <selection activeCell="E26" sqref="E26"/>
    </sheetView>
  </sheetViews>
  <sheetFormatPr baseColWidth="10" defaultRowHeight="15"/>
  <cols>
    <col min="2" max="2" width="40.6640625" customWidth="1"/>
    <col min="3" max="3" width="16.5" customWidth="1"/>
    <col min="4" max="8" width="14.83203125" bestFit="1" customWidth="1"/>
    <col min="9" max="13" width="15.1640625" bestFit="1" customWidth="1"/>
    <col min="14" max="14" width="15" bestFit="1" customWidth="1"/>
  </cols>
  <sheetData>
    <row r="1" spans="1:16" ht="26">
      <c r="A1" s="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 spans="1:16" ht="21" customHeight="1">
      <c r="A2" s="4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6">
      <c r="A3" s="27" t="s">
        <v>93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6"/>
      <c r="O3" s="1"/>
      <c r="P3" s="26"/>
    </row>
    <row r="5" spans="1:16" ht="16">
      <c r="G5" s="7"/>
      <c r="H5" s="7"/>
      <c r="I5" s="32" t="s">
        <v>48</v>
      </c>
      <c r="J5" s="32"/>
      <c r="K5" s="32"/>
      <c r="L5" s="32"/>
      <c r="M5" s="32"/>
    </row>
    <row r="6" spans="1:16" ht="16">
      <c r="C6" s="29">
        <v>2020</v>
      </c>
      <c r="D6" s="29">
        <v>2021</v>
      </c>
      <c r="E6" s="29">
        <v>2022</v>
      </c>
      <c r="F6" s="29">
        <v>2023</v>
      </c>
      <c r="G6" s="29">
        <v>2024</v>
      </c>
      <c r="H6" s="29">
        <v>2025</v>
      </c>
      <c r="I6" s="30">
        <v>2026</v>
      </c>
      <c r="J6" s="30">
        <v>2027</v>
      </c>
      <c r="K6" s="30">
        <v>2028</v>
      </c>
      <c r="L6" s="30">
        <v>2029</v>
      </c>
      <c r="M6" s="30">
        <v>2030</v>
      </c>
    </row>
    <row r="7" spans="1:16" ht="16">
      <c r="B7" s="22" t="s">
        <v>25</v>
      </c>
      <c r="C7" s="22"/>
      <c r="D7" s="23"/>
      <c r="E7" s="24"/>
      <c r="F7" s="24"/>
      <c r="G7" s="24"/>
      <c r="H7" s="24"/>
      <c r="I7" s="24"/>
      <c r="J7" s="24"/>
      <c r="K7" s="24"/>
      <c r="L7" s="24"/>
      <c r="M7" s="24"/>
    </row>
    <row r="8" spans="1:16" ht="16">
      <c r="B8" s="67" t="s">
        <v>26</v>
      </c>
      <c r="C8" s="54">
        <v>2180616</v>
      </c>
      <c r="D8" s="54">
        <v>2318750</v>
      </c>
      <c r="E8" s="54">
        <v>4182169</v>
      </c>
      <c r="F8" s="54">
        <v>5039822</v>
      </c>
      <c r="G8" s="54">
        <v>5763531</v>
      </c>
      <c r="H8" s="54">
        <v>6278337</v>
      </c>
      <c r="I8" s="55">
        <f>H8*(1.05)</f>
        <v>6592253.8500000006</v>
      </c>
      <c r="J8" s="55">
        <f>I8*(1+I9-0.55%)</f>
        <v>6885609.1463250006</v>
      </c>
      <c r="K8" s="55">
        <f t="shared" ref="K8:M8" si="0">J8*(1+J9-0.55%)</f>
        <v>7154147.9030316751</v>
      </c>
      <c r="L8" s="55">
        <f t="shared" si="0"/>
        <v>7393811.8577832356</v>
      </c>
      <c r="M8" s="105">
        <f t="shared" si="0"/>
        <v>7600838.5898011643</v>
      </c>
    </row>
    <row r="9" spans="1:16" ht="16">
      <c r="B9" s="106" t="s">
        <v>88</v>
      </c>
      <c r="C9" s="34"/>
      <c r="D9" s="40">
        <f>(D8-C8)/C8</f>
        <v>6.3346320489256244E-2</v>
      </c>
      <c r="E9" s="40">
        <f t="shared" ref="E9:M9" si="1">(E8-D8)/D8</f>
        <v>0.80363083557951487</v>
      </c>
      <c r="F9" s="40">
        <f t="shared" si="1"/>
        <v>0.20507373087983771</v>
      </c>
      <c r="G9" s="40">
        <f t="shared" si="1"/>
        <v>0.14359812707671024</v>
      </c>
      <c r="H9" s="40">
        <f t="shared" si="1"/>
        <v>8.9321285857575844E-2</v>
      </c>
      <c r="I9" s="41">
        <f t="shared" si="1"/>
        <v>5.0000000000000086E-2</v>
      </c>
      <c r="J9" s="41">
        <f t="shared" si="1"/>
        <v>4.4499999999999998E-2</v>
      </c>
      <c r="K9" s="41">
        <f t="shared" si="1"/>
        <v>3.8999999999999937E-2</v>
      </c>
      <c r="L9" s="41">
        <f t="shared" si="1"/>
        <v>3.3499999999999912E-2</v>
      </c>
      <c r="M9" s="107">
        <f>(M8-L8)/L8</f>
        <v>2.7999999999999747E-2</v>
      </c>
    </row>
    <row r="10" spans="1:16" ht="16">
      <c r="B10" s="79" t="s">
        <v>68</v>
      </c>
      <c r="C10" s="34">
        <f>C14+C12</f>
        <v>714571</v>
      </c>
      <c r="D10" s="34">
        <f>D14+D12</f>
        <v>644839</v>
      </c>
      <c r="E10" s="34">
        <f t="shared" ref="E10:M10" si="2">E14+E12</f>
        <v>2078853</v>
      </c>
      <c r="F10" s="34">
        <f t="shared" si="2"/>
        <v>3022610</v>
      </c>
      <c r="G10" s="34">
        <f t="shared" si="2"/>
        <v>3510332</v>
      </c>
      <c r="H10" s="34">
        <f t="shared" si="2"/>
        <v>3785032</v>
      </c>
      <c r="I10" s="35">
        <f t="shared" si="2"/>
        <v>4023198.123567</v>
      </c>
      <c r="J10" s="35">
        <f t="shared" si="2"/>
        <v>4253321.6599314632</v>
      </c>
      <c r="K10" s="35">
        <f t="shared" si="2"/>
        <v>4472284.982109285</v>
      </c>
      <c r="L10" s="35">
        <f t="shared" si="2"/>
        <v>4676968.6129946969</v>
      </c>
      <c r="M10" s="108">
        <f t="shared" si="2"/>
        <v>4864321.9564948715</v>
      </c>
    </row>
    <row r="11" spans="1:16" ht="16">
      <c r="B11" s="109" t="s">
        <v>87</v>
      </c>
      <c r="C11" s="40">
        <f>C10/C8</f>
        <v>0.32769226677232488</v>
      </c>
      <c r="D11" s="40">
        <f t="shared" ref="D11:M11" si="3">D10/D8</f>
        <v>0.27809768194070084</v>
      </c>
      <c r="E11" s="40">
        <f t="shared" si="3"/>
        <v>0.49707532144205557</v>
      </c>
      <c r="F11" s="40">
        <f t="shared" si="3"/>
        <v>0.59974538783314169</v>
      </c>
      <c r="G11" s="40">
        <f t="shared" si="3"/>
        <v>0.60905927286588724</v>
      </c>
      <c r="H11" s="40">
        <f t="shared" si="3"/>
        <v>0.60287174772555219</v>
      </c>
      <c r="I11" s="41">
        <f t="shared" si="3"/>
        <v>0.61029174772555217</v>
      </c>
      <c r="J11" s="41">
        <f t="shared" si="3"/>
        <v>0.61771174772555215</v>
      </c>
      <c r="K11" s="41">
        <f t="shared" si="3"/>
        <v>0.62513174772555213</v>
      </c>
      <c r="L11" s="41">
        <f t="shared" si="3"/>
        <v>0.63255174772555212</v>
      </c>
      <c r="M11" s="107">
        <f t="shared" si="3"/>
        <v>0.6399717477255521</v>
      </c>
    </row>
    <row r="12" spans="1:16" ht="16">
      <c r="B12" s="79" t="s">
        <v>29</v>
      </c>
      <c r="C12" s="34">
        <v>806863</v>
      </c>
      <c r="D12" s="34">
        <v>796619</v>
      </c>
      <c r="E12" s="34">
        <v>795175</v>
      </c>
      <c r="F12" s="34">
        <v>821192</v>
      </c>
      <c r="G12" s="34">
        <v>847811</v>
      </c>
      <c r="H12" s="62">
        <v>796897</v>
      </c>
      <c r="I12" s="20">
        <f t="shared" ref="I12:L12" si="4">I8*I28</f>
        <v>906619.7408100001</v>
      </c>
      <c r="J12" s="20">
        <f t="shared" si="4"/>
        <v>1019951.7762270902</v>
      </c>
      <c r="K12" s="20">
        <f t="shared" si="4"/>
        <v>1135563.8632720823</v>
      </c>
      <c r="L12" s="20">
        <f t="shared" si="4"/>
        <v>1251979.6583841993</v>
      </c>
      <c r="M12" s="110">
        <f>M8*M28</f>
        <v>1367603.9778708487</v>
      </c>
    </row>
    <row r="13" spans="1:16" ht="16">
      <c r="B13" s="109" t="s">
        <v>89</v>
      </c>
      <c r="C13" s="40">
        <f>C12/C8</f>
        <v>0.37001608719737911</v>
      </c>
      <c r="D13" s="40">
        <f t="shared" ref="D13:M13" si="5">D12/D8</f>
        <v>0.34355536388140162</v>
      </c>
      <c r="E13" s="40">
        <f t="shared" si="5"/>
        <v>0.19013459283926595</v>
      </c>
      <c r="F13" s="40">
        <f t="shared" si="5"/>
        <v>0.16294067528575415</v>
      </c>
      <c r="G13" s="40">
        <f t="shared" si="5"/>
        <v>0.14709923482670606</v>
      </c>
      <c r="H13" s="40">
        <f t="shared" si="5"/>
        <v>0.12692803842801048</v>
      </c>
      <c r="I13" s="41">
        <f t="shared" si="5"/>
        <v>0.13752803842801048</v>
      </c>
      <c r="J13" s="41">
        <f t="shared" si="5"/>
        <v>0.14812803842801048</v>
      </c>
      <c r="K13" s="41">
        <f t="shared" si="5"/>
        <v>0.15872803842801048</v>
      </c>
      <c r="L13" s="41">
        <f t="shared" si="5"/>
        <v>0.16932803842801047</v>
      </c>
      <c r="M13" s="107">
        <f t="shared" si="5"/>
        <v>0.17992803842801047</v>
      </c>
    </row>
    <row r="14" spans="1:16" ht="16">
      <c r="B14" s="79" t="s">
        <v>27</v>
      </c>
      <c r="C14" s="34">
        <v>-92292</v>
      </c>
      <c r="D14" s="34">
        <v>-151780</v>
      </c>
      <c r="E14" s="34">
        <v>1283678</v>
      </c>
      <c r="F14" s="34">
        <v>2201418</v>
      </c>
      <c r="G14" s="34">
        <v>2662521</v>
      </c>
      <c r="H14" s="34">
        <v>2988135</v>
      </c>
      <c r="I14" s="35">
        <f>I8*I27</f>
        <v>3116578.3827570002</v>
      </c>
      <c r="J14" s="35">
        <f t="shared" ref="J14:M14" si="6">J8*J27</f>
        <v>3233369.8837043731</v>
      </c>
      <c r="K14" s="35">
        <f t="shared" si="6"/>
        <v>3336721.1188372024</v>
      </c>
      <c r="L14" s="35">
        <f t="shared" si="6"/>
        <v>3424988.9546104977</v>
      </c>
      <c r="M14" s="108">
        <f t="shared" si="6"/>
        <v>3496717.978624023</v>
      </c>
    </row>
    <row r="15" spans="1:16" ht="16">
      <c r="B15" s="109" t="s">
        <v>90</v>
      </c>
      <c r="C15" s="40">
        <f>C14/C8</f>
        <v>-4.2323820425054205E-2</v>
      </c>
      <c r="D15" s="40">
        <f t="shared" ref="D15:M15" si="7">D14/D8</f>
        <v>-6.5457681940700813E-2</v>
      </c>
      <c r="E15" s="40">
        <f t="shared" si="7"/>
        <v>0.30694072860278959</v>
      </c>
      <c r="F15" s="40">
        <f t="shared" si="7"/>
        <v>0.43680471254738756</v>
      </c>
      <c r="G15" s="40">
        <f t="shared" si="7"/>
        <v>0.46196003803918118</v>
      </c>
      <c r="H15" s="40">
        <f t="shared" si="7"/>
        <v>0.47594370929754171</v>
      </c>
      <c r="I15" s="41">
        <f t="shared" si="7"/>
        <v>0.47276370929754169</v>
      </c>
      <c r="J15" s="41">
        <f t="shared" si="7"/>
        <v>0.46958370929754167</v>
      </c>
      <c r="K15" s="41">
        <f t="shared" si="7"/>
        <v>0.4664037092975416</v>
      </c>
      <c r="L15" s="41">
        <f t="shared" si="7"/>
        <v>0.46322370929754164</v>
      </c>
      <c r="M15" s="107">
        <f t="shared" si="7"/>
        <v>0.46004370929754163</v>
      </c>
    </row>
    <row r="16" spans="1:16" ht="16">
      <c r="B16" s="79" t="s">
        <v>28</v>
      </c>
      <c r="C16" s="34">
        <f t="shared" ref="C16:F16" si="8">C14*0.75</f>
        <v>-69219</v>
      </c>
      <c r="D16" s="34">
        <f t="shared" si="8"/>
        <v>-113835</v>
      </c>
      <c r="E16" s="34">
        <f t="shared" si="8"/>
        <v>962758.5</v>
      </c>
      <c r="F16" s="34">
        <f t="shared" si="8"/>
        <v>1651063.5</v>
      </c>
      <c r="G16" s="34">
        <f>G14*0.75</f>
        <v>1996890.75</v>
      </c>
      <c r="H16" s="34">
        <f>H14*0.75</f>
        <v>2241101.25</v>
      </c>
      <c r="I16" s="35">
        <f t="shared" ref="I16:L16" si="9">I14*(1-0.25)</f>
        <v>2337433.78706775</v>
      </c>
      <c r="J16" s="35">
        <f t="shared" si="9"/>
        <v>2425027.4127782797</v>
      </c>
      <c r="K16" s="35">
        <f t="shared" si="9"/>
        <v>2502540.8391279019</v>
      </c>
      <c r="L16" s="35">
        <f t="shared" si="9"/>
        <v>2568741.7159578735</v>
      </c>
      <c r="M16" s="108">
        <f>M14*(1-0.25)</f>
        <v>2622538.4839680172</v>
      </c>
    </row>
    <row r="17" spans="2:13" ht="16">
      <c r="B17" s="109" t="s">
        <v>91</v>
      </c>
      <c r="C17" s="44">
        <f>C16/C8</f>
        <v>-3.1742865318790656E-2</v>
      </c>
      <c r="D17" s="44">
        <f t="shared" ref="D17:M17" si="10">D16/D8</f>
        <v>-4.9093261455525609E-2</v>
      </c>
      <c r="E17" s="44">
        <f t="shared" si="10"/>
        <v>0.23020554645209221</v>
      </c>
      <c r="F17" s="44">
        <f t="shared" si="10"/>
        <v>0.32760353441054069</v>
      </c>
      <c r="G17" s="44">
        <f t="shared" si="10"/>
        <v>0.34647002852938591</v>
      </c>
      <c r="H17" s="44">
        <f t="shared" si="10"/>
        <v>0.35695778197315625</v>
      </c>
      <c r="I17" s="45">
        <f t="shared" si="10"/>
        <v>0.35457278197315623</v>
      </c>
      <c r="J17" s="45">
        <f t="shared" si="10"/>
        <v>0.35218778197315626</v>
      </c>
      <c r="K17" s="45">
        <f t="shared" si="10"/>
        <v>0.34980278197315623</v>
      </c>
      <c r="L17" s="45">
        <f t="shared" si="10"/>
        <v>0.34741778197315626</v>
      </c>
      <c r="M17" s="111">
        <f t="shared" si="10"/>
        <v>0.34503278197315618</v>
      </c>
    </row>
    <row r="18" spans="2:13" ht="16">
      <c r="B18" s="79" t="s">
        <v>30</v>
      </c>
      <c r="C18" s="34">
        <f>469776+33346</f>
        <v>503122</v>
      </c>
      <c r="D18" s="34">
        <f>614622+56461</f>
        <v>671083</v>
      </c>
      <c r="E18" s="34">
        <f>534945+192747</f>
        <v>727692</v>
      </c>
      <c r="F18" s="34">
        <f>545024+837914</f>
        <v>1382938</v>
      </c>
      <c r="G18" s="34">
        <f>737645+85356</f>
        <v>823001</v>
      </c>
      <c r="H18" s="34">
        <v>1059275</v>
      </c>
      <c r="I18" s="35">
        <f t="shared" ref="I18:L18" si="11">I29*I8</f>
        <v>1126741.7084700002</v>
      </c>
      <c r="J18" s="35">
        <f t="shared" si="11"/>
        <v>1192030.0546188301</v>
      </c>
      <c r="K18" s="35">
        <f t="shared" si="11"/>
        <v>1254258.3521356343</v>
      </c>
      <c r="L18" s="35">
        <f t="shared" si="11"/>
        <v>1312542.3930193011</v>
      </c>
      <c r="M18" s="108">
        <f>M29*M8</f>
        <v>1366015.4249214039</v>
      </c>
    </row>
    <row r="19" spans="2:13" ht="16">
      <c r="B19" s="109" t="s">
        <v>92</v>
      </c>
      <c r="C19" s="40">
        <f>C18/C8</f>
        <v>0.23072471265000349</v>
      </c>
      <c r="D19" s="40">
        <f t="shared" ref="D19:M19" si="12">D18/D8</f>
        <v>0.28941584905660378</v>
      </c>
      <c r="E19" s="40">
        <f t="shared" si="12"/>
        <v>0.17399870736931003</v>
      </c>
      <c r="F19" s="40">
        <f t="shared" si="12"/>
        <v>0.2744021515045571</v>
      </c>
      <c r="G19" s="40">
        <f t="shared" si="12"/>
        <v>0.14279458200190126</v>
      </c>
      <c r="H19" s="40">
        <f t="shared" si="12"/>
        <v>0.16871904136397903</v>
      </c>
      <c r="I19" s="41">
        <f t="shared" si="12"/>
        <v>0.17091904136397904</v>
      </c>
      <c r="J19" s="41">
        <f t="shared" si="12"/>
        <v>0.17311904136397901</v>
      </c>
      <c r="K19" s="41">
        <f t="shared" si="12"/>
        <v>0.17531904136397905</v>
      </c>
      <c r="L19" s="41">
        <f t="shared" si="12"/>
        <v>0.17751904136397906</v>
      </c>
      <c r="M19" s="107">
        <f t="shared" si="12"/>
        <v>0.17971904136397909</v>
      </c>
    </row>
    <row r="20" spans="2:13" ht="16">
      <c r="B20" s="79" t="s">
        <v>32</v>
      </c>
      <c r="C20" s="36">
        <v>-561888</v>
      </c>
      <c r="D20" s="34">
        <v>-468033</v>
      </c>
      <c r="E20" s="34">
        <v>92711</v>
      </c>
      <c r="F20" s="34">
        <v>-31405</v>
      </c>
      <c r="G20" s="34">
        <v>-52014</v>
      </c>
      <c r="H20" s="34">
        <v>-88914</v>
      </c>
      <c r="I20" s="35">
        <f>(H21-0.32%)*I8</f>
        <v>-114454.91232</v>
      </c>
      <c r="J20" s="35">
        <f t="shared" ref="J20:M20" si="13">(I21-0.32%)*J8</f>
        <v>-141582.10518648001</v>
      </c>
      <c r="K20" s="35">
        <f t="shared" si="13"/>
        <v>-169997.0805784541</v>
      </c>
      <c r="L20" s="35">
        <f t="shared" si="13"/>
        <v>-199352.18072273867</v>
      </c>
      <c r="M20" s="108">
        <f t="shared" si="13"/>
        <v>-229256.72527033903</v>
      </c>
    </row>
    <row r="21" spans="2:13" ht="16">
      <c r="B21" s="106" t="s">
        <v>92</v>
      </c>
      <c r="C21" s="37"/>
      <c r="D21" s="43">
        <f>D20/D8</f>
        <v>-0.20184711590296495</v>
      </c>
      <c r="E21" s="43">
        <f t="shared" ref="E21:M21" si="14">E20/E8</f>
        <v>2.2168162023103323E-2</v>
      </c>
      <c r="F21" s="43">
        <f t="shared" si="14"/>
        <v>-6.2313708698442131E-3</v>
      </c>
      <c r="G21" s="43">
        <f t="shared" si="14"/>
        <v>-9.0246760189196511E-3</v>
      </c>
      <c r="H21" s="43">
        <f t="shared" si="14"/>
        <v>-1.416203048673558E-2</v>
      </c>
      <c r="I21" s="41">
        <f t="shared" si="14"/>
        <v>-1.7362030486735579E-2</v>
      </c>
      <c r="J21" s="41">
        <f t="shared" si="14"/>
        <v>-2.0562030486735581E-2</v>
      </c>
      <c r="K21" s="41">
        <f t="shared" si="14"/>
        <v>-2.3762030486735582E-2</v>
      </c>
      <c r="L21" s="41">
        <f t="shared" si="14"/>
        <v>-2.6962030486735584E-2</v>
      </c>
      <c r="M21" s="107">
        <f t="shared" si="14"/>
        <v>-3.0162030486735585E-2</v>
      </c>
    </row>
    <row r="22" spans="2:13" ht="16">
      <c r="B22" s="112" t="s">
        <v>3</v>
      </c>
      <c r="C22" s="113">
        <f>C16+C12-C18-C20</f>
        <v>796410</v>
      </c>
      <c r="D22" s="113">
        <f t="shared" ref="D22:L22" si="15">D16+D12-D18-D20</f>
        <v>479734</v>
      </c>
      <c r="E22" s="113">
        <f t="shared" si="15"/>
        <v>937530.5</v>
      </c>
      <c r="F22" s="113">
        <f t="shared" si="15"/>
        <v>1120722.5</v>
      </c>
      <c r="G22" s="113">
        <f t="shared" si="15"/>
        <v>2073714.75</v>
      </c>
      <c r="H22" s="113">
        <f t="shared" si="15"/>
        <v>2067637.25</v>
      </c>
      <c r="I22" s="114">
        <f t="shared" si="15"/>
        <v>2231766.73172775</v>
      </c>
      <c r="J22" s="114">
        <f t="shared" si="15"/>
        <v>2394531.2395730196</v>
      </c>
      <c r="K22" s="114">
        <f t="shared" si="15"/>
        <v>2553843.4308428043</v>
      </c>
      <c r="L22" s="114">
        <f t="shared" si="15"/>
        <v>2707531.1620455105</v>
      </c>
      <c r="M22" s="115">
        <f>M16+M12-M18-M20</f>
        <v>2853383.7621878008</v>
      </c>
    </row>
    <row r="23" spans="2:13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2:13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 spans="2:13" ht="16">
      <c r="B25" s="12"/>
      <c r="C25" s="29">
        <v>2020</v>
      </c>
      <c r="D25" s="29">
        <v>2021</v>
      </c>
      <c r="E25" s="29">
        <v>2022</v>
      </c>
      <c r="F25" s="29">
        <v>2023</v>
      </c>
      <c r="G25" s="29">
        <v>2024</v>
      </c>
      <c r="H25" s="29">
        <v>2025</v>
      </c>
      <c r="I25" s="30">
        <v>2026</v>
      </c>
      <c r="J25" s="30">
        <v>2027</v>
      </c>
      <c r="K25" s="30">
        <v>2028</v>
      </c>
      <c r="L25" s="30">
        <v>2029</v>
      </c>
      <c r="M25" s="30">
        <v>2030</v>
      </c>
    </row>
    <row r="26" spans="2:13" ht="16">
      <c r="B26" s="22" t="s">
        <v>34</v>
      </c>
      <c r="C26" s="22"/>
      <c r="D26" s="25"/>
      <c r="E26" s="25"/>
      <c r="F26" s="25"/>
      <c r="G26" s="25"/>
      <c r="H26" s="25"/>
      <c r="I26" s="24"/>
      <c r="J26" s="24"/>
      <c r="K26" s="24"/>
      <c r="L26" s="24"/>
      <c r="M26" s="24"/>
    </row>
    <row r="27" spans="2:13" ht="16">
      <c r="B27" s="67" t="s">
        <v>35</v>
      </c>
      <c r="C27" s="116">
        <f t="shared" ref="C27:G27" si="16">C14/C8</f>
        <v>-4.2323820425054205E-2</v>
      </c>
      <c r="D27" s="116">
        <f t="shared" si="16"/>
        <v>-6.5457681940700813E-2</v>
      </c>
      <c r="E27" s="116">
        <f t="shared" si="16"/>
        <v>0.30694072860278959</v>
      </c>
      <c r="F27" s="116">
        <f t="shared" si="16"/>
        <v>0.43680471254738756</v>
      </c>
      <c r="G27" s="116">
        <f t="shared" si="16"/>
        <v>0.46196003803918118</v>
      </c>
      <c r="H27" s="116">
        <f>H14/H8</f>
        <v>0.47594370929754171</v>
      </c>
      <c r="I27" s="117">
        <f>H27-0.318%</f>
        <v>0.47276370929754169</v>
      </c>
      <c r="J27" s="117">
        <f t="shared" ref="J27:L27" si="17">I27-0.318%</f>
        <v>0.46958370929754167</v>
      </c>
      <c r="K27" s="117">
        <f t="shared" si="17"/>
        <v>0.46640370929754166</v>
      </c>
      <c r="L27" s="117">
        <f t="shared" si="17"/>
        <v>0.46322370929754164</v>
      </c>
      <c r="M27" s="118">
        <f>L27-0.318%</f>
        <v>0.46004370929754163</v>
      </c>
    </row>
    <row r="28" spans="2:13" ht="16">
      <c r="B28" s="79" t="s">
        <v>36</v>
      </c>
      <c r="C28" s="119">
        <f t="shared" ref="C28:G28" si="18">C12/C8</f>
        <v>0.37001608719737911</v>
      </c>
      <c r="D28" s="119">
        <f t="shared" si="18"/>
        <v>0.34355536388140162</v>
      </c>
      <c r="E28" s="119">
        <f t="shared" si="18"/>
        <v>0.19013459283926595</v>
      </c>
      <c r="F28" s="119">
        <f t="shared" si="18"/>
        <v>0.16294067528575415</v>
      </c>
      <c r="G28" s="119">
        <f t="shared" si="18"/>
        <v>0.14709923482670606</v>
      </c>
      <c r="H28" s="119">
        <f>H12/H8</f>
        <v>0.12692803842801048</v>
      </c>
      <c r="I28" s="21">
        <f>H28+1.06%</f>
        <v>0.13752803842801048</v>
      </c>
      <c r="J28" s="21">
        <f t="shared" ref="J28:M28" si="19">I28+1.06%</f>
        <v>0.14812803842801048</v>
      </c>
      <c r="K28" s="21">
        <f t="shared" si="19"/>
        <v>0.15872803842801048</v>
      </c>
      <c r="L28" s="21">
        <f t="shared" si="19"/>
        <v>0.16932803842801047</v>
      </c>
      <c r="M28" s="120">
        <f t="shared" si="19"/>
        <v>0.17992803842801047</v>
      </c>
    </row>
    <row r="29" spans="2:13" ht="16">
      <c r="B29" s="79" t="s">
        <v>37</v>
      </c>
      <c r="C29" s="119">
        <f>C18/C8</f>
        <v>0.23072471265000349</v>
      </c>
      <c r="D29" s="119">
        <f t="shared" ref="D29:H29" si="20">D18/D8</f>
        <v>0.28941584905660378</v>
      </c>
      <c r="E29" s="119">
        <f t="shared" si="20"/>
        <v>0.17399870736931003</v>
      </c>
      <c r="F29" s="119">
        <f t="shared" si="20"/>
        <v>0.2744021515045571</v>
      </c>
      <c r="G29" s="119">
        <f t="shared" si="20"/>
        <v>0.14279458200190126</v>
      </c>
      <c r="H29" s="119">
        <f t="shared" si="20"/>
        <v>0.16871904136397903</v>
      </c>
      <c r="I29" s="21">
        <f>H29+0.22%</f>
        <v>0.17091904136397904</v>
      </c>
      <c r="J29" s="21">
        <f t="shared" ref="J29:M29" si="21">I29+0.22%</f>
        <v>0.17311904136397904</v>
      </c>
      <c r="K29" s="21">
        <f t="shared" si="21"/>
        <v>0.17531904136397905</v>
      </c>
      <c r="L29" s="21">
        <f t="shared" si="21"/>
        <v>0.17751904136397906</v>
      </c>
      <c r="M29" s="120">
        <f t="shared" si="21"/>
        <v>0.17971904136397907</v>
      </c>
    </row>
    <row r="30" spans="2:13" ht="16">
      <c r="B30" s="79" t="s">
        <v>38</v>
      </c>
      <c r="C30" s="39">
        <v>0.25</v>
      </c>
      <c r="D30" s="39">
        <v>0.25</v>
      </c>
      <c r="E30" s="39">
        <v>0.25</v>
      </c>
      <c r="F30" s="39">
        <v>0.25</v>
      </c>
      <c r="G30" s="39">
        <v>0.25</v>
      </c>
      <c r="H30" s="39">
        <v>0.25</v>
      </c>
      <c r="I30" s="21">
        <v>0.25</v>
      </c>
      <c r="J30" s="21">
        <v>0.25</v>
      </c>
      <c r="K30" s="21">
        <v>0.25</v>
      </c>
      <c r="L30" s="21">
        <v>0.25</v>
      </c>
      <c r="M30" s="120">
        <v>0.25</v>
      </c>
    </row>
    <row r="31" spans="2:13" ht="16">
      <c r="B31" s="79" t="s">
        <v>39</v>
      </c>
      <c r="C31" s="34">
        <v>76065601</v>
      </c>
      <c r="D31" s="121">
        <v>119952578</v>
      </c>
      <c r="E31" s="121">
        <v>243693689</v>
      </c>
      <c r="F31" s="121">
        <v>283201865</v>
      </c>
      <c r="G31" s="121">
        <v>309371619</v>
      </c>
      <c r="H31" s="121">
        <v>321587316</v>
      </c>
      <c r="I31" s="20">
        <v>337520037.983904</v>
      </c>
      <c r="J31" s="20">
        <v>352182583.47400075</v>
      </c>
      <c r="K31" s="20">
        <v>366049420.51570606</v>
      </c>
      <c r="L31" s="20">
        <v>379717705.8777625</v>
      </c>
      <c r="M31" s="110">
        <v>393896365.01523811</v>
      </c>
    </row>
    <row r="32" spans="2:13" ht="16">
      <c r="B32" s="79" t="s">
        <v>40</v>
      </c>
      <c r="C32" s="38" t="s">
        <v>33</v>
      </c>
      <c r="D32" s="80">
        <f>(D8-C8)/C8</f>
        <v>6.3346320489256244E-2</v>
      </c>
      <c r="E32" s="80">
        <f t="shared" ref="E32:M32" si="22">(E8-D8)/D8</f>
        <v>0.80363083557951487</v>
      </c>
      <c r="F32" s="80">
        <f t="shared" si="22"/>
        <v>0.20507373087983771</v>
      </c>
      <c r="G32" s="80">
        <f t="shared" si="22"/>
        <v>0.14359812707671024</v>
      </c>
      <c r="H32" s="80">
        <f t="shared" si="22"/>
        <v>8.9321285857575844E-2</v>
      </c>
      <c r="I32" s="31">
        <v>4.9544000000000032E-2</v>
      </c>
      <c r="J32" s="31">
        <v>4.3441999999999981E-2</v>
      </c>
      <c r="K32" s="31">
        <v>3.937400000000002E-2</v>
      </c>
      <c r="L32" s="31">
        <v>3.7339999999999929E-2</v>
      </c>
      <c r="M32" s="122">
        <v>3.7339999999999929E-2</v>
      </c>
    </row>
    <row r="33" spans="2:13" ht="16">
      <c r="B33" s="79" t="s">
        <v>41</v>
      </c>
      <c r="C33" s="42" t="s">
        <v>33</v>
      </c>
      <c r="D33" s="42">
        <f>(D31-C31)/C31</f>
        <v>0.57696220660900321</v>
      </c>
      <c r="E33" s="42">
        <f>(E31-D31)/D31</f>
        <v>1.0315835896415666</v>
      </c>
      <c r="F33" s="42">
        <f t="shared" ref="F33:H33" si="23">(F31-E31)/E31</f>
        <v>0.16212227802091339</v>
      </c>
      <c r="G33" s="42">
        <f t="shared" si="23"/>
        <v>9.2406714906344278E-2</v>
      </c>
      <c r="H33" s="42">
        <f t="shared" si="23"/>
        <v>3.9485512728948804E-2</v>
      </c>
      <c r="I33" s="31">
        <v>3.2000000000000001E-2</v>
      </c>
      <c r="J33" s="31">
        <v>2.5999999999999999E-2</v>
      </c>
      <c r="K33" s="31">
        <v>2.1999999999999999E-2</v>
      </c>
      <c r="L33" s="31">
        <v>0.02</v>
      </c>
      <c r="M33" s="122">
        <v>0.02</v>
      </c>
    </row>
    <row r="34" spans="2:13" ht="16">
      <c r="B34" s="79" t="s">
        <v>42</v>
      </c>
      <c r="C34" s="38" t="s">
        <v>33</v>
      </c>
      <c r="D34" s="80">
        <f>D31/(D8*1000)</f>
        <v>5.1731570026954179E-2</v>
      </c>
      <c r="E34" s="80">
        <f t="shared" ref="E34:H34" si="24">E31/(E8*1000)</f>
        <v>5.8269689484093064E-2</v>
      </c>
      <c r="F34" s="80">
        <f t="shared" si="24"/>
        <v>5.6192830818231281E-2</v>
      </c>
      <c r="G34" s="80">
        <f t="shared" si="24"/>
        <v>5.3677445128689341E-2</v>
      </c>
      <c r="H34" s="80">
        <f t="shared" si="24"/>
        <v>5.1221735309843995E-2</v>
      </c>
      <c r="I34" s="31">
        <v>1.7000000000000001E-2</v>
      </c>
      <c r="J34" s="31">
        <v>1.7000000000000001E-2</v>
      </c>
      <c r="K34" s="31">
        <v>1.7000000000000001E-2</v>
      </c>
      <c r="L34" s="31">
        <v>1.7000000000000001E-2</v>
      </c>
      <c r="M34" s="122">
        <v>1.7000000000000001E-2</v>
      </c>
    </row>
    <row r="35" spans="2:13" ht="16">
      <c r="B35" s="82" t="s">
        <v>43</v>
      </c>
      <c r="C35" s="123" t="s">
        <v>33</v>
      </c>
      <c r="D35" s="124">
        <f>(1+D34)*(1+D33)-1</f>
        <v>0.65854093743005726</v>
      </c>
      <c r="E35" s="124">
        <f t="shared" ref="E35:H35" si="25">(1+E34)*(1+E33)-1</f>
        <v>1.1499633345709599</v>
      </c>
      <c r="F35" s="124">
        <f t="shared" si="25"/>
        <v>0.22742521857984022</v>
      </c>
      <c r="G35" s="124">
        <f t="shared" si="25"/>
        <v>0.15104431640394145</v>
      </c>
      <c r="H35" s="124">
        <f t="shared" si="25"/>
        <v>9.2729764520368629E-2</v>
      </c>
      <c r="I35" s="125">
        <v>4.9544000000000032E-2</v>
      </c>
      <c r="J35" s="125">
        <v>4.3441999999999981E-2</v>
      </c>
      <c r="K35" s="125">
        <v>3.937400000000002E-2</v>
      </c>
      <c r="L35" s="125">
        <v>3.7339999999999929E-2</v>
      </c>
      <c r="M35" s="126">
        <v>3.7339999999999929E-2</v>
      </c>
    </row>
  </sheetData>
  <mergeCells count="2">
    <mergeCell ref="I5:M5"/>
    <mergeCell ref="I36:M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8436-3E5F-3E44-8439-E7F03F68457F}">
  <dimension ref="A1:Q18"/>
  <sheetViews>
    <sheetView showGridLines="0" tabSelected="1" topLeftCell="E1" zoomScale="116" workbookViewId="0">
      <selection activeCell="E22" sqref="E22"/>
    </sheetView>
  </sheetViews>
  <sheetFormatPr baseColWidth="10" defaultRowHeight="15"/>
  <cols>
    <col min="3" max="3" width="23.6640625" bestFit="1" customWidth="1"/>
    <col min="5" max="5" width="17.33203125" bestFit="1" customWidth="1"/>
    <col min="6" max="6" width="15.6640625" bestFit="1" customWidth="1"/>
    <col min="7" max="7" width="16.5" bestFit="1" customWidth="1"/>
    <col min="8" max="8" width="18.83203125" bestFit="1" customWidth="1"/>
    <col min="9" max="10" width="15.6640625" bestFit="1" customWidth="1"/>
    <col min="11" max="12" width="14.6640625" bestFit="1" customWidth="1"/>
    <col min="13" max="13" width="8.5" bestFit="1" customWidth="1"/>
    <col min="14" max="14" width="10.5" customWidth="1"/>
    <col min="15" max="15" width="11" customWidth="1"/>
    <col min="16" max="16" width="8.5" customWidth="1"/>
    <col min="17" max="17" width="15.1640625" bestFit="1" customWidth="1"/>
  </cols>
  <sheetData>
    <row r="1" spans="1:17" ht="26">
      <c r="A1" s="6" t="s">
        <v>0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ht="24">
      <c r="A2" s="4" t="s">
        <v>79</v>
      </c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 ht="16">
      <c r="A3" s="27" t="s">
        <v>109</v>
      </c>
      <c r="B3" s="27"/>
      <c r="C3" s="27"/>
      <c r="D3" s="27"/>
      <c r="E3" s="27"/>
      <c r="F3" s="1"/>
      <c r="G3" s="1"/>
      <c r="H3" s="1"/>
      <c r="I3" s="1"/>
      <c r="J3" s="1"/>
      <c r="K3" s="1"/>
      <c r="L3" s="27"/>
      <c r="M3" s="1"/>
      <c r="N3" s="26"/>
      <c r="O3" s="1"/>
      <c r="P3" s="26"/>
    </row>
    <row r="4" spans="1:17"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7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7" ht="16">
      <c r="C6" s="22">
        <v>2025</v>
      </c>
      <c r="D6" s="51" t="s">
        <v>59</v>
      </c>
      <c r="E6" s="52"/>
      <c r="F6" s="52"/>
      <c r="G6" s="51" t="s">
        <v>60</v>
      </c>
      <c r="H6" s="52"/>
      <c r="I6" s="52"/>
      <c r="J6" s="52"/>
      <c r="K6" s="52"/>
      <c r="L6" s="52"/>
      <c r="M6" s="51" t="s">
        <v>61</v>
      </c>
      <c r="N6" s="52"/>
      <c r="O6" s="52"/>
      <c r="P6" s="52"/>
    </row>
    <row r="7" spans="1:17" ht="16">
      <c r="C7" s="46"/>
      <c r="D7" s="46" t="s">
        <v>62</v>
      </c>
      <c r="E7" s="46" t="s">
        <v>63</v>
      </c>
      <c r="F7" s="46" t="s">
        <v>64</v>
      </c>
      <c r="G7" s="46" t="s">
        <v>65</v>
      </c>
      <c r="H7" s="46" t="s">
        <v>66</v>
      </c>
      <c r="I7" s="46" t="s">
        <v>67</v>
      </c>
      <c r="J7" s="46" t="s">
        <v>27</v>
      </c>
      <c r="K7" s="46" t="s">
        <v>68</v>
      </c>
      <c r="L7" s="46" t="s">
        <v>69</v>
      </c>
      <c r="M7" s="46" t="s">
        <v>70</v>
      </c>
      <c r="N7" s="46" t="s">
        <v>71</v>
      </c>
      <c r="O7" s="46" t="s">
        <v>72</v>
      </c>
      <c r="P7" s="46" t="s">
        <v>73</v>
      </c>
    </row>
    <row r="8" spans="1:17" ht="16">
      <c r="C8" s="22" t="s">
        <v>74</v>
      </c>
      <c r="D8" s="49" t="s">
        <v>75</v>
      </c>
      <c r="E8" s="49" t="s">
        <v>75</v>
      </c>
      <c r="F8" s="49"/>
      <c r="G8" s="49"/>
      <c r="H8" s="49"/>
      <c r="I8" s="49"/>
      <c r="J8" s="49"/>
      <c r="K8" s="49"/>
      <c r="L8" s="49"/>
      <c r="M8" s="49" t="s">
        <v>76</v>
      </c>
      <c r="N8" s="49" t="s">
        <v>76</v>
      </c>
      <c r="O8" s="49" t="s">
        <v>76</v>
      </c>
      <c r="P8" s="49" t="s">
        <v>76</v>
      </c>
    </row>
    <row r="9" spans="1:17">
      <c r="C9" s="99" t="s">
        <v>0</v>
      </c>
      <c r="D9" s="100">
        <v>23.82</v>
      </c>
      <c r="E9" s="100">
        <v>1499074627</v>
      </c>
      <c r="F9" s="100">
        <f t="shared" ref="F9:F14" si="0">D9*E9</f>
        <v>35707957615.139999</v>
      </c>
      <c r="G9" s="63">
        <v>5509027000</v>
      </c>
      <c r="H9" s="63">
        <f>F9+G9</f>
        <v>41216984615.139999</v>
      </c>
      <c r="I9" s="63">
        <v>5357335000</v>
      </c>
      <c r="J9" s="63">
        <v>2988135000</v>
      </c>
      <c r="K9" s="100">
        <v>3785032000</v>
      </c>
      <c r="L9" s="100">
        <v>2136676000</v>
      </c>
      <c r="M9" s="101">
        <f>H9/(I9)</f>
        <v>7.6935611857649375</v>
      </c>
      <c r="N9" s="101">
        <f t="shared" ref="N9:N14" si="1">H9/(J9)</f>
        <v>13.793548355459174</v>
      </c>
      <c r="O9" s="101">
        <f t="shared" ref="O9:O14" si="2">H9/(K9)</f>
        <v>10.889467939806057</v>
      </c>
      <c r="P9" s="102">
        <f t="shared" ref="P9:P14" si="3">F9/(L9)</f>
        <v>16.71191964300624</v>
      </c>
    </row>
    <row r="10" spans="1:17">
      <c r="C10" s="79" t="s">
        <v>81</v>
      </c>
      <c r="D10" s="47">
        <v>111.4</v>
      </c>
      <c r="E10" s="47">
        <v>99130435</v>
      </c>
      <c r="F10" s="47">
        <f t="shared" si="0"/>
        <v>11043130459</v>
      </c>
      <c r="G10" s="47">
        <v>8950000000</v>
      </c>
      <c r="H10" s="47">
        <f>F10+G10</f>
        <v>19993130459</v>
      </c>
      <c r="I10" s="47">
        <v>6704000000</v>
      </c>
      <c r="J10" s="47">
        <f>K10-1116000000</f>
        <v>1206000000</v>
      </c>
      <c r="K10" s="47">
        <v>2322000000</v>
      </c>
      <c r="L10" s="47">
        <v>382000000</v>
      </c>
      <c r="M10" s="48">
        <f t="shared" ref="M10:M12" si="4">H10/(I10)</f>
        <v>2.9822688632159906</v>
      </c>
      <c r="N10" s="48">
        <f t="shared" si="1"/>
        <v>16.578051790215589</v>
      </c>
      <c r="O10" s="48">
        <f t="shared" si="2"/>
        <v>8.610305968561585</v>
      </c>
      <c r="P10" s="103">
        <f t="shared" si="3"/>
        <v>28.90871847905759</v>
      </c>
    </row>
    <row r="11" spans="1:17">
      <c r="C11" s="104" t="s">
        <v>80</v>
      </c>
      <c r="D11" s="47">
        <v>279.31</v>
      </c>
      <c r="E11" s="47">
        <v>30701875</v>
      </c>
      <c r="F11" s="47">
        <f t="shared" si="0"/>
        <v>8575340706.25</v>
      </c>
      <c r="G11" s="47">
        <v>1245621389</v>
      </c>
      <c r="H11" s="47">
        <f>G11+F11</f>
        <v>9820962095.25</v>
      </c>
      <c r="I11" s="47">
        <v>1470909349.8</v>
      </c>
      <c r="J11" s="47">
        <v>487288731</v>
      </c>
      <c r="K11" s="47">
        <v>825631350</v>
      </c>
      <c r="L11" s="47">
        <v>372586926</v>
      </c>
      <c r="M11" s="48">
        <f t="shared" si="4"/>
        <v>6.6767962937929246</v>
      </c>
      <c r="N11" s="48">
        <f t="shared" si="1"/>
        <v>20.154297586762784</v>
      </c>
      <c r="O11" s="48">
        <f t="shared" si="2"/>
        <v>11.895093488455835</v>
      </c>
      <c r="P11" s="103">
        <f t="shared" si="3"/>
        <v>23.015677974299077</v>
      </c>
      <c r="Q11" t="s">
        <v>86</v>
      </c>
    </row>
    <row r="12" spans="1:17">
      <c r="C12" s="79" t="s">
        <v>82</v>
      </c>
      <c r="D12" s="47">
        <v>69.599999999999994</v>
      </c>
      <c r="E12" s="47">
        <v>92347561</v>
      </c>
      <c r="F12" s="47">
        <f t="shared" si="0"/>
        <v>6427390245.5999994</v>
      </c>
      <c r="G12" s="34">
        <v>579074000</v>
      </c>
      <c r="H12" s="47">
        <f>G12+F12</f>
        <v>7006464245.5999994</v>
      </c>
      <c r="I12" s="47">
        <v>1913003000</v>
      </c>
      <c r="J12" s="47">
        <v>476734000</v>
      </c>
      <c r="K12" s="47">
        <v>867422000</v>
      </c>
      <c r="L12" s="47">
        <v>180856000</v>
      </c>
      <c r="M12" s="48">
        <f t="shared" si="4"/>
        <v>3.6625474427379356</v>
      </c>
      <c r="N12" s="48">
        <f t="shared" si="1"/>
        <v>14.696799988253407</v>
      </c>
      <c r="O12" s="48">
        <f t="shared" si="2"/>
        <v>8.0773421075324343</v>
      </c>
      <c r="P12" s="103">
        <f t="shared" si="3"/>
        <v>35.538717242447028</v>
      </c>
      <c r="Q12" t="s">
        <v>85</v>
      </c>
    </row>
    <row r="13" spans="1:17">
      <c r="C13" s="79" t="s">
        <v>83</v>
      </c>
      <c r="D13" s="47">
        <v>918.16</v>
      </c>
      <c r="E13" s="47">
        <v>7772727</v>
      </c>
      <c r="F13" s="47">
        <f t="shared" si="0"/>
        <v>7136607022.3199997</v>
      </c>
      <c r="G13" s="34">
        <v>1182975138</v>
      </c>
      <c r="H13" s="47">
        <f>G13+F13</f>
        <v>8319582160.3199997</v>
      </c>
      <c r="I13" s="47">
        <v>1746487848</v>
      </c>
      <c r="J13" s="47">
        <v>575559300</v>
      </c>
      <c r="K13" s="47">
        <v>892250766</v>
      </c>
      <c r="L13" s="47">
        <v>418284375</v>
      </c>
      <c r="M13" s="48">
        <f>H13/(I13)</f>
        <v>4.763607241726425</v>
      </c>
      <c r="N13" s="48">
        <f t="shared" si="1"/>
        <v>14.454778439545672</v>
      </c>
      <c r="O13" s="48">
        <f t="shared" si="2"/>
        <v>9.3242645199589553</v>
      </c>
      <c r="P13" s="103">
        <f t="shared" si="3"/>
        <v>17.061615132814847</v>
      </c>
      <c r="Q13" t="s">
        <v>85</v>
      </c>
    </row>
    <row r="14" spans="1:17">
      <c r="C14" s="79" t="s">
        <v>84</v>
      </c>
      <c r="D14" s="47">
        <v>22.49</v>
      </c>
      <c r="E14" s="47">
        <v>163120000</v>
      </c>
      <c r="F14" s="47">
        <f t="shared" si="0"/>
        <v>3668568799.9999995</v>
      </c>
      <c r="G14" s="47">
        <v>616638906</v>
      </c>
      <c r="H14" s="47">
        <v>3679110966</v>
      </c>
      <c r="I14" s="34">
        <v>1608027543</v>
      </c>
      <c r="J14" s="47">
        <v>401299861</v>
      </c>
      <c r="K14" s="47">
        <v>601026839</v>
      </c>
      <c r="L14" s="47">
        <v>160747463</v>
      </c>
      <c r="M14" s="48">
        <f>H14/(I14)</f>
        <v>2.2879651421493095</v>
      </c>
      <c r="N14" s="48">
        <f t="shared" si="1"/>
        <v>9.1679846507596974</v>
      </c>
      <c r="O14" s="48">
        <f t="shared" si="2"/>
        <v>6.1213754981747162</v>
      </c>
      <c r="P14" s="103">
        <f t="shared" si="3"/>
        <v>22.821939031162188</v>
      </c>
      <c r="Q14" t="s">
        <v>85</v>
      </c>
    </row>
    <row r="15" spans="1:17">
      <c r="C15" s="152" t="s">
        <v>77</v>
      </c>
      <c r="D15" s="153">
        <f t="shared" ref="D15:L15" si="5">SUM(D9:D14)/6</f>
        <v>237.46333333333334</v>
      </c>
      <c r="E15" s="153">
        <f t="shared" si="5"/>
        <v>315357870.83333331</v>
      </c>
      <c r="F15" s="153">
        <f t="shared" si="5"/>
        <v>12093165808.051666</v>
      </c>
      <c r="G15" s="153">
        <f t="shared" si="5"/>
        <v>3013889405.5</v>
      </c>
      <c r="H15" s="153">
        <f t="shared" si="5"/>
        <v>15006039090.218332</v>
      </c>
      <c r="I15" s="153">
        <f t="shared" si="5"/>
        <v>3133293790.1333332</v>
      </c>
      <c r="J15" s="153">
        <f t="shared" si="5"/>
        <v>1022502815.3333334</v>
      </c>
      <c r="K15" s="153">
        <f t="shared" si="5"/>
        <v>1548893825.8333333</v>
      </c>
      <c r="L15" s="153">
        <f t="shared" si="5"/>
        <v>608525127.33333337</v>
      </c>
      <c r="M15" s="154">
        <f t="shared" ref="M15:P15" si="6">SUM(M9:M14)/6</f>
        <v>4.6777910282312538</v>
      </c>
      <c r="N15" s="154">
        <f t="shared" si="6"/>
        <v>14.807576801832719</v>
      </c>
      <c r="O15" s="154">
        <f t="shared" si="6"/>
        <v>9.1529749204149322</v>
      </c>
      <c r="P15" s="155">
        <f t="shared" si="6"/>
        <v>24.009764583797828</v>
      </c>
    </row>
    <row r="16" spans="1:17">
      <c r="C16" s="156" t="s">
        <v>78</v>
      </c>
      <c r="D16" s="157">
        <f t="shared" ref="D16:P16" si="7">MEDIAN(D9:D14)</f>
        <v>90.5</v>
      </c>
      <c r="E16" s="157">
        <f t="shared" si="7"/>
        <v>95738998</v>
      </c>
      <c r="F16" s="157">
        <f t="shared" si="7"/>
        <v>7855973864.2849998</v>
      </c>
      <c r="G16" s="157">
        <f t="shared" si="7"/>
        <v>1214298263.5</v>
      </c>
      <c r="H16" s="157">
        <f t="shared" si="7"/>
        <v>9070272127.7849998</v>
      </c>
      <c r="I16" s="157">
        <f t="shared" si="7"/>
        <v>1829745424</v>
      </c>
      <c r="J16" s="157">
        <f t="shared" si="7"/>
        <v>531424015.5</v>
      </c>
      <c r="K16" s="157">
        <f t="shared" si="7"/>
        <v>879836383</v>
      </c>
      <c r="L16" s="157">
        <f t="shared" si="7"/>
        <v>377293463</v>
      </c>
      <c r="M16" s="158">
        <f t="shared" si="7"/>
        <v>4.2130773422321806</v>
      </c>
      <c r="N16" s="158">
        <f t="shared" si="7"/>
        <v>14.57578921389954</v>
      </c>
      <c r="O16" s="158">
        <f t="shared" si="7"/>
        <v>8.9672852442602711</v>
      </c>
      <c r="P16" s="159">
        <f t="shared" si="7"/>
        <v>22.918808502730634</v>
      </c>
    </row>
    <row r="17" spans="3:16"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3:16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</sheetData>
  <mergeCells count="3">
    <mergeCell ref="D6:F6"/>
    <mergeCell ref="G6:L6"/>
    <mergeCell ref="M6:P6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3DC3-EE28-2B47-B12E-8799F24AA22E}">
  <dimension ref="A1:N23"/>
  <sheetViews>
    <sheetView showGridLines="0" zoomScale="125" workbookViewId="0">
      <selection activeCell="F12" sqref="F12"/>
    </sheetView>
  </sheetViews>
  <sheetFormatPr baseColWidth="10" defaultRowHeight="15"/>
  <cols>
    <col min="3" max="3" width="24.33203125" bestFit="1" customWidth="1"/>
    <col min="4" max="4" width="16" bestFit="1" customWidth="1"/>
  </cols>
  <sheetData>
    <row r="1" spans="1:14" ht="26">
      <c r="A1" s="6" t="s">
        <v>0</v>
      </c>
      <c r="B1" s="10"/>
      <c r="C1" s="10"/>
      <c r="D1" s="10"/>
      <c r="E1" s="10"/>
      <c r="F1" s="11"/>
      <c r="G1" s="11"/>
      <c r="H1" s="11"/>
      <c r="I1" s="11"/>
      <c r="J1" s="10"/>
      <c r="K1" s="1"/>
      <c r="L1" s="1"/>
      <c r="M1" s="1"/>
      <c r="N1" s="1"/>
    </row>
    <row r="2" spans="1:14" ht="23" customHeight="1">
      <c r="A2" s="4" t="s">
        <v>11</v>
      </c>
      <c r="B2" s="10"/>
      <c r="C2" s="10"/>
      <c r="D2" s="10"/>
      <c r="E2" s="10"/>
      <c r="F2" s="11"/>
      <c r="G2" s="11"/>
      <c r="H2" s="11"/>
      <c r="I2" s="11"/>
      <c r="J2" s="10"/>
      <c r="K2" s="1"/>
      <c r="L2" s="1"/>
      <c r="M2" s="1"/>
      <c r="N2" s="1"/>
    </row>
    <row r="3" spans="1:14" ht="16">
      <c r="A3" s="27" t="s">
        <v>109</v>
      </c>
      <c r="B3" s="10"/>
      <c r="C3" s="10"/>
      <c r="D3" s="10"/>
      <c r="E3" s="10"/>
      <c r="F3" s="11"/>
      <c r="G3" s="11"/>
      <c r="H3" s="11"/>
      <c r="I3" s="11"/>
      <c r="J3" s="10"/>
      <c r="K3" s="1"/>
      <c r="L3" s="1"/>
      <c r="M3" s="1"/>
      <c r="N3" s="26"/>
    </row>
    <row r="6" spans="1:14" ht="16">
      <c r="C6" s="28" t="s">
        <v>12</v>
      </c>
      <c r="D6" s="28">
        <v>2025</v>
      </c>
    </row>
    <row r="7" spans="1:14" ht="16">
      <c r="C7" s="85" t="s">
        <v>13</v>
      </c>
      <c r="D7" s="91">
        <v>2.9767999999999999E-2</v>
      </c>
    </row>
    <row r="8" spans="1:14" ht="16">
      <c r="C8" s="86" t="s">
        <v>14</v>
      </c>
      <c r="D8" s="92">
        <v>0.89</v>
      </c>
    </row>
    <row r="9" spans="1:14" ht="16">
      <c r="C9" s="86" t="s">
        <v>15</v>
      </c>
      <c r="D9" s="93">
        <v>5.7799999999999997E-2</v>
      </c>
    </row>
    <row r="10" spans="1:14" ht="16">
      <c r="C10" s="86" t="s">
        <v>16</v>
      </c>
      <c r="D10" s="94">
        <v>8.1210000000000004E-2</v>
      </c>
    </row>
    <row r="11" spans="1:14" ht="16">
      <c r="C11" s="86" t="s">
        <v>17</v>
      </c>
      <c r="D11" s="93">
        <f>124354/7556696</f>
        <v>1.6456133738872121E-2</v>
      </c>
    </row>
    <row r="12" spans="1:14" ht="16">
      <c r="C12" s="86" t="s">
        <v>18</v>
      </c>
      <c r="D12" s="94">
        <v>0.25</v>
      </c>
    </row>
    <row r="13" spans="1:14" ht="16">
      <c r="C13" s="86" t="s">
        <v>19</v>
      </c>
      <c r="D13" s="95">
        <v>0.17466211719202615</v>
      </c>
    </row>
    <row r="14" spans="1:14" ht="16">
      <c r="C14" s="86" t="s">
        <v>20</v>
      </c>
      <c r="D14" s="96">
        <f>1-D13</f>
        <v>0.82533788280797382</v>
      </c>
    </row>
    <row r="15" spans="1:14" ht="16">
      <c r="C15" s="86" t="s">
        <v>21</v>
      </c>
      <c r="D15" s="96">
        <f>D14*D10+D13*D11*(1-D12)</f>
        <v>6.9181386832555467E-2</v>
      </c>
    </row>
    <row r="16" spans="1:14" ht="16">
      <c r="C16" s="88" t="s">
        <v>22</v>
      </c>
      <c r="D16" s="94">
        <v>1.7500000000000002E-2</v>
      </c>
    </row>
    <row r="17" spans="3:5" ht="16">
      <c r="C17" s="88" t="s">
        <v>23</v>
      </c>
      <c r="D17" s="97">
        <v>5509027000</v>
      </c>
    </row>
    <row r="18" spans="3:5" ht="16">
      <c r="C18" s="90" t="s">
        <v>24</v>
      </c>
      <c r="D18" s="98">
        <v>1499074627</v>
      </c>
    </row>
    <row r="22" spans="3:5">
      <c r="E22" s="7"/>
    </row>
    <row r="23" spans="3:5">
      <c r="E23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46F5-090A-4E4A-AC50-947640F4A685}">
  <dimension ref="A1:O58"/>
  <sheetViews>
    <sheetView showGridLines="0" topLeftCell="A3" zoomScale="94" workbookViewId="0">
      <selection activeCell="E38" sqref="E38"/>
    </sheetView>
  </sheetViews>
  <sheetFormatPr baseColWidth="10" defaultRowHeight="15"/>
  <cols>
    <col min="3" max="3" width="20" bestFit="1" customWidth="1"/>
    <col min="4" max="4" width="23.33203125" bestFit="1" customWidth="1"/>
    <col min="5" max="8" width="16.6640625" bestFit="1" customWidth="1"/>
    <col min="9" max="9" width="17.6640625" bestFit="1" customWidth="1"/>
    <col min="10" max="10" width="17.33203125" customWidth="1"/>
  </cols>
  <sheetData>
    <row r="1" spans="1:15" ht="26">
      <c r="A1" s="6" t="s">
        <v>0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>
      <c r="A2" s="4" t="s">
        <v>11</v>
      </c>
      <c r="B2" s="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6">
      <c r="A3" s="27" t="s">
        <v>109</v>
      </c>
      <c r="B3" s="27"/>
      <c r="C3" s="27"/>
      <c r="D3" s="27"/>
      <c r="E3" s="27"/>
      <c r="F3" s="1"/>
      <c r="G3" s="1"/>
      <c r="H3" s="1"/>
      <c r="I3" s="1"/>
      <c r="J3" s="1"/>
      <c r="K3" s="1"/>
      <c r="L3" s="1"/>
      <c r="M3" s="1"/>
      <c r="N3" s="26"/>
      <c r="O3" s="26"/>
    </row>
    <row r="7" spans="1:15" ht="16">
      <c r="E7" s="57" t="s">
        <v>48</v>
      </c>
      <c r="F7" s="57"/>
      <c r="G7" s="57"/>
      <c r="H7" s="57"/>
      <c r="I7" s="57"/>
      <c r="J7" s="58"/>
    </row>
    <row r="8" spans="1:15" ht="16">
      <c r="D8" s="30">
        <v>2025</v>
      </c>
      <c r="E8" s="50">
        <v>2026</v>
      </c>
      <c r="F8" s="50">
        <v>2027</v>
      </c>
      <c r="G8" s="50">
        <v>2028</v>
      </c>
      <c r="H8" s="50">
        <v>2029</v>
      </c>
      <c r="I8" s="50">
        <v>2030</v>
      </c>
      <c r="J8" s="50">
        <v>2031</v>
      </c>
    </row>
    <row r="9" spans="1:15" ht="16">
      <c r="C9" s="28" t="s">
        <v>2</v>
      </c>
      <c r="D9" s="22"/>
      <c r="E9" s="22"/>
      <c r="F9" s="22"/>
      <c r="G9" s="22"/>
      <c r="H9" s="22"/>
      <c r="I9" s="22"/>
      <c r="J9" s="22"/>
    </row>
    <row r="10" spans="1:15">
      <c r="C10" s="67" t="s">
        <v>3</v>
      </c>
      <c r="D10" s="54">
        <v>2067637250</v>
      </c>
      <c r="E10" s="61">
        <v>2186027966.1870499</v>
      </c>
      <c r="F10" s="61">
        <v>2277993945.0883498</v>
      </c>
      <c r="G10" s="61">
        <v>2341669109.9993801</v>
      </c>
      <c r="H10" s="61">
        <v>2490256500.9137001</v>
      </c>
      <c r="I10" s="61">
        <v>2614164336.8742299</v>
      </c>
      <c r="J10" s="127">
        <f>I10*(1+J13)</f>
        <v>2659912212.7695293</v>
      </c>
    </row>
    <row r="11" spans="1:15">
      <c r="C11" s="79"/>
      <c r="D11" s="131"/>
      <c r="E11" s="64"/>
      <c r="F11" s="64"/>
      <c r="G11" s="64"/>
      <c r="H11" s="64"/>
      <c r="I11" s="64"/>
      <c r="J11" s="132"/>
    </row>
    <row r="12" spans="1:15">
      <c r="C12" s="79" t="s">
        <v>21</v>
      </c>
      <c r="D12" s="131">
        <v>6.9181386832555467E-2</v>
      </c>
      <c r="E12" s="64">
        <v>6.9181386832555467E-2</v>
      </c>
      <c r="F12" s="64">
        <v>6.9181386832555467E-2</v>
      </c>
      <c r="G12" s="64">
        <v>6.9181386832555467E-2</v>
      </c>
      <c r="H12" s="64">
        <v>6.9181386832555467E-2</v>
      </c>
      <c r="I12" s="64">
        <v>6.9181386832555467E-2</v>
      </c>
      <c r="J12" s="132">
        <v>6.9181386832555467E-2</v>
      </c>
    </row>
    <row r="13" spans="1:15">
      <c r="C13" s="79" t="s">
        <v>101</v>
      </c>
      <c r="D13" s="80">
        <v>1.7500000000000002E-2</v>
      </c>
      <c r="E13" s="129">
        <v>1.7500000000000002E-2</v>
      </c>
      <c r="F13" s="129">
        <v>1.7500000000000002E-2</v>
      </c>
      <c r="G13" s="129">
        <v>1.7500000000000002E-2</v>
      </c>
      <c r="H13" s="129">
        <v>1.7500000000000002E-2</v>
      </c>
      <c r="I13" s="129">
        <v>1.7500000000000002E-2</v>
      </c>
      <c r="J13" s="130">
        <v>1.7500000000000002E-2</v>
      </c>
    </row>
    <row r="14" spans="1:15">
      <c r="C14" s="79" t="s">
        <v>4</v>
      </c>
      <c r="D14" s="34">
        <v>1</v>
      </c>
      <c r="E14" s="59">
        <f>1/(1+E12)</f>
        <v>0.9352949951387528</v>
      </c>
      <c r="F14" s="59">
        <f xml:space="preserve"> 1 /(1 + $E$12)^2</f>
        <v>0.87477672793159977</v>
      </c>
      <c r="G14" s="59">
        <f xml:space="preserve"> 1 /(1 + $E$12)^3</f>
        <v>0.8181742954982798</v>
      </c>
      <c r="H14" s="59">
        <f xml:space="preserve"> 1 /(1 + $E$12)^4</f>
        <v>0.7652343237307162</v>
      </c>
      <c r="I14" s="59">
        <f xml:space="preserve"> 1 /(1 + $E$12)^5</f>
        <v>0.71571983309372711</v>
      </c>
      <c r="J14" s="128"/>
    </row>
    <row r="15" spans="1:15">
      <c r="C15" s="79"/>
      <c r="D15" s="34"/>
      <c r="E15" s="59"/>
      <c r="F15" s="59"/>
      <c r="G15" s="59"/>
      <c r="H15" s="59"/>
      <c r="I15" s="59"/>
      <c r="J15" s="132"/>
    </row>
    <row r="16" spans="1:15">
      <c r="C16" s="79" t="s">
        <v>5</v>
      </c>
      <c r="D16" s="34"/>
      <c r="E16" s="59">
        <f>E14*E10</f>
        <v>2044581016.0080945</v>
      </c>
      <c r="F16" s="59">
        <f t="shared" ref="F16:I16" si="0">F14*F10</f>
        <v>1992736089.532383</v>
      </c>
      <c r="G16" s="59">
        <f>G14*G10</f>
        <v>1915893474.3638268</v>
      </c>
      <c r="H16" s="59">
        <f t="shared" si="0"/>
        <v>1905629749.392715</v>
      </c>
      <c r="I16" s="59">
        <f t="shared" si="0"/>
        <v>1871009262.8671978</v>
      </c>
      <c r="J16" s="132"/>
    </row>
    <row r="17" spans="3:10" ht="16">
      <c r="C17" s="79"/>
      <c r="D17" s="34"/>
      <c r="E17" s="59"/>
      <c r="F17" s="59"/>
      <c r="G17" s="59"/>
      <c r="H17" s="59"/>
      <c r="I17" s="141"/>
      <c r="J17" s="132"/>
    </row>
    <row r="18" spans="3:10">
      <c r="C18" s="142" t="s">
        <v>6</v>
      </c>
      <c r="D18" s="34"/>
      <c r="E18" s="59"/>
      <c r="F18" s="59"/>
      <c r="G18" s="59"/>
      <c r="H18" s="59"/>
      <c r="I18" s="59">
        <f>J10*(1+I13)/(I12-I13)</f>
        <v>52368189833.252029</v>
      </c>
      <c r="J18" s="132"/>
    </row>
    <row r="19" spans="3:10">
      <c r="C19" s="79" t="s">
        <v>7</v>
      </c>
      <c r="D19" s="34"/>
      <c r="E19" s="59"/>
      <c r="F19" s="59"/>
      <c r="G19" s="59"/>
      <c r="H19" s="59"/>
      <c r="I19" s="59"/>
      <c r="J19" s="128"/>
    </row>
    <row r="20" spans="3:10">
      <c r="C20" s="79" t="s">
        <v>8</v>
      </c>
      <c r="D20" s="34">
        <f>SUM(E16:I16)+(I18/(1+D12)^5)</f>
        <v>47210801679.03997</v>
      </c>
      <c r="E20" s="59"/>
      <c r="F20" s="59"/>
      <c r="G20" s="59"/>
      <c r="H20" s="59"/>
      <c r="I20" s="59"/>
      <c r="J20" s="128"/>
    </row>
    <row r="21" spans="3:10">
      <c r="C21" s="79" t="s">
        <v>103</v>
      </c>
      <c r="D21" s="34">
        <v>5509027000</v>
      </c>
      <c r="E21" s="59"/>
      <c r="F21" s="59"/>
      <c r="G21" s="59"/>
      <c r="H21" s="59"/>
      <c r="I21" s="59"/>
      <c r="J21" s="128"/>
    </row>
    <row r="22" spans="3:10">
      <c r="C22" s="79" t="s">
        <v>9</v>
      </c>
      <c r="D22" s="34">
        <f>D20-D21</f>
        <v>41701774679.03997</v>
      </c>
      <c r="E22" s="59"/>
      <c r="F22" s="59"/>
      <c r="G22" s="59"/>
      <c r="H22" s="59"/>
      <c r="I22" s="59"/>
      <c r="J22" s="128"/>
    </row>
    <row r="23" spans="3:10">
      <c r="C23" s="145" t="s">
        <v>10</v>
      </c>
      <c r="D23" s="146">
        <f>D22/1499074627</f>
        <v>27.818344682742715</v>
      </c>
      <c r="E23" s="60"/>
      <c r="F23" s="60"/>
      <c r="G23" s="60"/>
      <c r="H23" s="60"/>
      <c r="I23" s="60"/>
      <c r="J23" s="144"/>
    </row>
    <row r="28" spans="3:10" ht="16">
      <c r="E28" s="32" t="s">
        <v>48</v>
      </c>
      <c r="F28" s="32"/>
      <c r="G28" s="32"/>
      <c r="H28" s="32"/>
      <c r="I28" s="32"/>
    </row>
    <row r="29" spans="3:10" ht="16">
      <c r="C29" s="12"/>
      <c r="D29" s="29">
        <v>2025</v>
      </c>
      <c r="E29" s="30">
        <v>2026</v>
      </c>
      <c r="F29" s="30">
        <v>2027</v>
      </c>
      <c r="G29" s="30">
        <v>2028</v>
      </c>
      <c r="H29" s="30">
        <v>2029</v>
      </c>
      <c r="I29" s="30">
        <v>2030</v>
      </c>
    </row>
    <row r="30" spans="3:10" ht="16">
      <c r="C30" s="22" t="s">
        <v>49</v>
      </c>
      <c r="D30" s="22"/>
      <c r="E30" s="24"/>
      <c r="F30" s="24"/>
      <c r="G30" s="24"/>
      <c r="H30" s="24"/>
      <c r="I30" s="24"/>
    </row>
    <row r="31" spans="3:10">
      <c r="C31" s="67" t="s">
        <v>28</v>
      </c>
      <c r="D31" s="54">
        <v>2241101.25</v>
      </c>
      <c r="E31" s="61">
        <v>2337433.78706775</v>
      </c>
      <c r="F31" s="61">
        <v>2425027.4127782797</v>
      </c>
      <c r="G31" s="61">
        <v>2502540.8391279019</v>
      </c>
      <c r="H31" s="61">
        <v>2568741.7159578735</v>
      </c>
      <c r="I31" s="127">
        <v>2622538.4839680172</v>
      </c>
    </row>
    <row r="32" spans="3:10">
      <c r="C32" s="79" t="s">
        <v>32</v>
      </c>
      <c r="D32" s="34">
        <v>-88914</v>
      </c>
      <c r="E32" s="59">
        <v>-114454.91232</v>
      </c>
      <c r="F32" s="59">
        <v>-141582.10518648001</v>
      </c>
      <c r="G32" s="59">
        <v>-169997.0805784541</v>
      </c>
      <c r="H32" s="59">
        <v>-199352.18072273867</v>
      </c>
      <c r="I32" s="128">
        <v>-229256.72527033903</v>
      </c>
    </row>
    <row r="33" spans="3:9">
      <c r="C33" s="79" t="s">
        <v>30</v>
      </c>
      <c r="D33" s="34">
        <v>1059275</v>
      </c>
      <c r="E33" s="59">
        <v>1126741.7084700002</v>
      </c>
      <c r="F33" s="59">
        <v>1192030.0546188301</v>
      </c>
      <c r="G33" s="59">
        <v>1254258.3521356343</v>
      </c>
      <c r="H33" s="59">
        <v>1312542.3930193011</v>
      </c>
      <c r="I33" s="128">
        <v>1366015.4249214039</v>
      </c>
    </row>
    <row r="34" spans="3:9">
      <c r="C34" s="79" t="s">
        <v>29</v>
      </c>
      <c r="D34" s="34">
        <v>796897</v>
      </c>
      <c r="E34" s="59">
        <v>906619.7408100001</v>
      </c>
      <c r="F34" s="59">
        <v>1019951.7762270902</v>
      </c>
      <c r="G34" s="59">
        <v>1135563.8632720823</v>
      </c>
      <c r="H34" s="59">
        <v>1251979.6583841993</v>
      </c>
      <c r="I34" s="128">
        <v>1367603.9778708487</v>
      </c>
    </row>
    <row r="35" spans="3:9">
      <c r="C35" s="79" t="s">
        <v>57</v>
      </c>
      <c r="D35" s="34">
        <v>12094818</v>
      </c>
      <c r="E35" s="59">
        <f>D35+E33-E34</f>
        <v>12314939.967660001</v>
      </c>
      <c r="F35" s="59">
        <f t="shared" ref="F35:I35" si="1">E35+F33-F34</f>
        <v>12487018.24605174</v>
      </c>
      <c r="G35" s="59">
        <f t="shared" si="1"/>
        <v>12605712.734915292</v>
      </c>
      <c r="H35" s="59">
        <f t="shared" si="1"/>
        <v>12666275.469550394</v>
      </c>
      <c r="I35" s="128">
        <f t="shared" si="1"/>
        <v>12664686.91660095</v>
      </c>
    </row>
    <row r="36" spans="3:9">
      <c r="C36" s="79" t="s">
        <v>50</v>
      </c>
      <c r="D36" s="34">
        <f>D35+D32</f>
        <v>12005904</v>
      </c>
      <c r="E36" s="59">
        <f t="shared" ref="E36:I36" si="2">E35+E32</f>
        <v>12200485.055340001</v>
      </c>
      <c r="F36" s="59">
        <f t="shared" si="2"/>
        <v>12345436.140865261</v>
      </c>
      <c r="G36" s="59">
        <f t="shared" si="2"/>
        <v>12435715.654336838</v>
      </c>
      <c r="H36" s="59">
        <f t="shared" si="2"/>
        <v>12466923.288827654</v>
      </c>
      <c r="I36" s="128">
        <f t="shared" si="2"/>
        <v>12435430.191330612</v>
      </c>
    </row>
    <row r="37" spans="3:9">
      <c r="C37" s="79" t="s">
        <v>51</v>
      </c>
      <c r="D37" s="80">
        <f>D31/((D36+11728774)/2)</f>
        <v>0.1888461473966489</v>
      </c>
      <c r="E37" s="129">
        <f>E31/((E36+D36)/2)</f>
        <v>0.19312535890619384</v>
      </c>
      <c r="F37" s="129">
        <f t="shared" ref="F37:I37" si="3">F31/((F36+E36)/2)</f>
        <v>0.19759106968478191</v>
      </c>
      <c r="G37" s="129">
        <f t="shared" si="3"/>
        <v>0.2019713094701612</v>
      </c>
      <c r="H37" s="129">
        <f t="shared" si="3"/>
        <v>0.20630277151112661</v>
      </c>
      <c r="I37" s="130">
        <f t="shared" si="3"/>
        <v>0.21062575359052768</v>
      </c>
    </row>
    <row r="38" spans="3:9">
      <c r="C38" s="79" t="s">
        <v>21</v>
      </c>
      <c r="D38" s="131">
        <v>6.9181386832555467E-2</v>
      </c>
      <c r="E38" s="64">
        <v>6.9181000000000006E-2</v>
      </c>
      <c r="F38" s="64">
        <v>6.9181000000000006E-2</v>
      </c>
      <c r="G38" s="64">
        <v>6.9181000000000006E-2</v>
      </c>
      <c r="H38" s="64">
        <v>6.9181000000000006E-2</v>
      </c>
      <c r="I38" s="132">
        <v>6.9181000000000006E-2</v>
      </c>
    </row>
    <row r="39" spans="3:9">
      <c r="C39" s="79" t="s">
        <v>52</v>
      </c>
      <c r="D39" s="131">
        <f>D37-D38</f>
        <v>0.11966476056409343</v>
      </c>
      <c r="E39" s="64">
        <f t="shared" ref="E39:I39" si="4">E37-E38</f>
        <v>0.12394435890619383</v>
      </c>
      <c r="F39" s="64">
        <f t="shared" si="4"/>
        <v>0.12841006968478191</v>
      </c>
      <c r="G39" s="64">
        <f t="shared" si="4"/>
        <v>0.13279030947016118</v>
      </c>
      <c r="H39" s="64">
        <f t="shared" si="4"/>
        <v>0.13712177151112659</v>
      </c>
      <c r="I39" s="132">
        <f t="shared" si="4"/>
        <v>0.14144475359052766</v>
      </c>
    </row>
    <row r="40" spans="3:9">
      <c r="C40" s="79"/>
      <c r="D40" s="33"/>
      <c r="E40" s="133"/>
      <c r="F40" s="133"/>
      <c r="G40" s="133"/>
      <c r="H40" s="133"/>
      <c r="I40" s="134"/>
    </row>
    <row r="41" spans="3:9">
      <c r="C41" s="79" t="s">
        <v>53</v>
      </c>
      <c r="D41" s="34">
        <f>D33-D34+D32</f>
        <v>173464</v>
      </c>
      <c r="E41" s="59">
        <f t="shared" ref="E41:I41" si="5">E33-E34+E32</f>
        <v>105667.05534000008</v>
      </c>
      <c r="F41" s="59">
        <f t="shared" si="5"/>
        <v>30496.173205259925</v>
      </c>
      <c r="G41" s="59">
        <f t="shared" si="5"/>
        <v>-51302.591714902112</v>
      </c>
      <c r="H41" s="59">
        <f t="shared" si="5"/>
        <v>-138789.44608763681</v>
      </c>
      <c r="I41" s="128">
        <f t="shared" si="5"/>
        <v>-230845.27821978388</v>
      </c>
    </row>
    <row r="42" spans="3:9">
      <c r="C42" s="79" t="s">
        <v>54</v>
      </c>
      <c r="D42" s="80">
        <f>D41/D31</f>
        <v>7.7401232987576979E-2</v>
      </c>
      <c r="E42" s="129">
        <f t="shared" ref="E42:I42" si="6">E41/E31</f>
        <v>4.5206437899811769E-2</v>
      </c>
      <c r="F42" s="129">
        <f t="shared" si="6"/>
        <v>1.2575599370368104E-2</v>
      </c>
      <c r="G42" s="129">
        <f t="shared" si="6"/>
        <v>-2.0500201600218558E-2</v>
      </c>
      <c r="H42" s="129">
        <f t="shared" si="6"/>
        <v>-5.4030128924769216E-2</v>
      </c>
      <c r="I42" s="130">
        <f t="shared" si="6"/>
        <v>-8.8023599894139493E-2</v>
      </c>
    </row>
    <row r="43" spans="3:9">
      <c r="C43" s="79" t="s">
        <v>55</v>
      </c>
      <c r="D43" s="135">
        <f>D42*D37</f>
        <v>1.4616924653454325E-2</v>
      </c>
      <c r="E43" s="136">
        <f t="shared" ref="E43:I43" si="7">E42*E37</f>
        <v>8.7305095442717119E-3</v>
      </c>
      <c r="F43" s="136">
        <f t="shared" si="7"/>
        <v>2.4848261315183035E-3</v>
      </c>
      <c r="G43" s="136">
        <f t="shared" si="7"/>
        <v>-4.1404525615984364E-3</v>
      </c>
      <c r="H43" s="136">
        <f t="shared" si="7"/>
        <v>-1.1146565342283376E-2</v>
      </c>
      <c r="I43" s="137">
        <f t="shared" si="7"/>
        <v>-1.8540037061454222E-2</v>
      </c>
    </row>
    <row r="44" spans="3:9">
      <c r="C44" s="79" t="s">
        <v>58</v>
      </c>
      <c r="D44" s="80">
        <f>D37-D42</f>
        <v>0.11144491440907192</v>
      </c>
      <c r="E44" s="129">
        <f t="shared" ref="E44:I44" si="8">E37-E42</f>
        <v>0.14791892100638207</v>
      </c>
      <c r="F44" s="129">
        <f t="shared" si="8"/>
        <v>0.18501547031441379</v>
      </c>
      <c r="G44" s="129">
        <f t="shared" si="8"/>
        <v>0.22247151107037977</v>
      </c>
      <c r="H44" s="129">
        <f t="shared" si="8"/>
        <v>0.26033290043589585</v>
      </c>
      <c r="I44" s="130">
        <f t="shared" si="8"/>
        <v>0.29864935348466715</v>
      </c>
    </row>
    <row r="45" spans="3:9">
      <c r="C45" s="82" t="s">
        <v>56</v>
      </c>
      <c r="D45" s="124">
        <v>8.9321285857575844E-2</v>
      </c>
      <c r="E45" s="138">
        <v>5.0000000000000086E-2</v>
      </c>
      <c r="F45" s="138">
        <v>4.4499999999999998E-2</v>
      </c>
      <c r="G45" s="138">
        <v>3.8999999999999937E-2</v>
      </c>
      <c r="H45" s="139">
        <v>3.3499999999999912E-2</v>
      </c>
      <c r="I45" s="140">
        <v>2.7999999999999747E-2</v>
      </c>
    </row>
    <row r="51" spans="3:4" ht="16">
      <c r="C51" s="22" t="s">
        <v>107</v>
      </c>
      <c r="D51" s="22"/>
    </row>
    <row r="52" spans="3:4">
      <c r="C52" s="67" t="s">
        <v>8</v>
      </c>
      <c r="D52" s="147">
        <v>47210801679.03997</v>
      </c>
    </row>
    <row r="53" spans="3:4">
      <c r="C53" s="148" t="s">
        <v>108</v>
      </c>
      <c r="D53" s="89">
        <v>5509027000</v>
      </c>
    </row>
    <row r="54" spans="3:4">
      <c r="C54" s="149" t="s">
        <v>9</v>
      </c>
      <c r="D54" s="150">
        <v>41701774679.03997</v>
      </c>
    </row>
    <row r="55" spans="3:4">
      <c r="C55" s="79"/>
      <c r="D55" s="87"/>
    </row>
    <row r="56" spans="3:4">
      <c r="C56" s="79" t="s">
        <v>104</v>
      </c>
      <c r="D56" s="72">
        <v>27.818344682742715</v>
      </c>
    </row>
    <row r="57" spans="3:4">
      <c r="C57" s="79" t="s">
        <v>105</v>
      </c>
      <c r="D57" s="87">
        <v>23.82</v>
      </c>
    </row>
    <row r="58" spans="3:4">
      <c r="C58" s="143" t="s">
        <v>106</v>
      </c>
      <c r="D58" s="151">
        <f>(D56-D57)/D57</f>
        <v>0.16785661976249852</v>
      </c>
    </row>
  </sheetData>
  <mergeCells count="2">
    <mergeCell ref="E28:I28"/>
    <mergeCell ref="E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showGridLines="0" zoomScale="119" workbookViewId="0">
      <selection activeCell="H3" sqref="H3"/>
    </sheetView>
  </sheetViews>
  <sheetFormatPr baseColWidth="10" defaultColWidth="8.83203125" defaultRowHeight="15"/>
  <cols>
    <col min="3" max="3" width="15" bestFit="1" customWidth="1"/>
    <col min="4" max="4" width="13.6640625" bestFit="1" customWidth="1"/>
    <col min="5" max="5" width="12.1640625" bestFit="1" customWidth="1"/>
    <col min="6" max="6" width="15.6640625" bestFit="1" customWidth="1"/>
    <col min="9" max="11" width="15.6640625" bestFit="1" customWidth="1"/>
    <col min="12" max="12" width="16.83203125" bestFit="1" customWidth="1"/>
    <col min="13" max="13" width="15.6640625" bestFit="1" customWidth="1"/>
    <col min="14" max="14" width="12.1640625" customWidth="1"/>
    <col min="15" max="15" width="13" customWidth="1"/>
  </cols>
  <sheetData>
    <row r="1" spans="1:16" ht="26">
      <c r="A1" s="6" t="s">
        <v>0</v>
      </c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">
      <c r="A2" s="4" t="s">
        <v>11</v>
      </c>
      <c r="B2" s="5"/>
      <c r="C2" s="5"/>
      <c r="D2" s="5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6">
      <c r="A3" s="27" t="s">
        <v>110</v>
      </c>
      <c r="B3" s="27"/>
      <c r="C3" s="27"/>
      <c r="D3" s="27"/>
      <c r="E3" s="27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6" spans="1:16" ht="16">
      <c r="C6" s="28" t="s">
        <v>1</v>
      </c>
      <c r="D6" s="56"/>
      <c r="E6" s="56"/>
      <c r="F6" s="56"/>
    </row>
    <row r="7" spans="1:16">
      <c r="C7" s="67" t="s">
        <v>102</v>
      </c>
      <c r="D7" s="68">
        <v>1.4999999999999999E-2</v>
      </c>
      <c r="E7" s="68">
        <v>1.7500000000000002E-2</v>
      </c>
      <c r="F7" s="69">
        <v>0.02</v>
      </c>
    </row>
    <row r="8" spans="1:16">
      <c r="C8" s="70">
        <v>0.06</v>
      </c>
      <c r="D8" s="71">
        <v>32.375993535879758</v>
      </c>
      <c r="E8" s="71">
        <v>34.181606797934826</v>
      </c>
      <c r="F8" s="72">
        <v>36.212921717746759</v>
      </c>
    </row>
    <row r="9" spans="1:16">
      <c r="C9" s="70">
        <v>6.5000000000000002E-2</v>
      </c>
      <c r="D9" s="71">
        <v>28.729246514079716</v>
      </c>
      <c r="E9" s="71">
        <v>30.156126990767497</v>
      </c>
      <c r="F9" s="72">
        <v>31.741549742642782</v>
      </c>
      <c r="I9" s="7"/>
      <c r="J9" s="7"/>
      <c r="K9" s="7"/>
      <c r="L9" s="7"/>
      <c r="M9" s="7"/>
    </row>
    <row r="10" spans="1:16">
      <c r="C10" s="70">
        <v>7.0000000000000007E-2</v>
      </c>
      <c r="D10" s="71">
        <v>25.746276941209018</v>
      </c>
      <c r="E10" s="71">
        <v>26.898117951585125</v>
      </c>
      <c r="F10" s="72">
        <v>28.165143062998823</v>
      </c>
    </row>
    <row r="11" spans="1:16">
      <c r="C11" s="70">
        <v>7.4999999999999997E-2</v>
      </c>
      <c r="D11" s="71">
        <v>23.261123832006099</v>
      </c>
      <c r="E11" s="71">
        <v>24.207353778848368</v>
      </c>
      <c r="F11" s="72">
        <v>25.239604629949007</v>
      </c>
    </row>
    <row r="12" spans="1:16">
      <c r="C12" s="70">
        <v>0.08</v>
      </c>
      <c r="D12" s="71">
        <v>21.158891576064281</v>
      </c>
      <c r="E12" s="71">
        <v>21.94768130134814</v>
      </c>
      <c r="F12" s="72">
        <v>22.80220350373898</v>
      </c>
      <c r="I12" s="7"/>
      <c r="J12" s="7"/>
      <c r="K12" s="7"/>
      <c r="L12" s="7"/>
      <c r="M12" s="7"/>
    </row>
    <row r="13" spans="1:16">
      <c r="C13" s="73">
        <v>8.5000000000000006E-2</v>
      </c>
      <c r="D13" s="74">
        <v>19.357512289333087</v>
      </c>
      <c r="E13" s="74">
        <v>20.023289423218831</v>
      </c>
      <c r="F13" s="75">
        <v>20.74028018278808</v>
      </c>
      <c r="I13" s="9"/>
      <c r="J13" s="9"/>
      <c r="K13" s="9"/>
      <c r="L13" s="9"/>
      <c r="M13" s="9"/>
    </row>
    <row r="14" spans="1:16">
      <c r="I14" s="9"/>
      <c r="J14" s="9"/>
      <c r="K14" s="9"/>
      <c r="L14" s="9"/>
      <c r="M14" s="9"/>
    </row>
    <row r="15" spans="1:16">
      <c r="I15" s="8"/>
      <c r="J15" s="8"/>
      <c r="K15" s="8"/>
      <c r="L15" s="8"/>
      <c r="M15" s="8"/>
    </row>
    <row r="16" spans="1:16">
      <c r="I16" s="7"/>
      <c r="J16" s="7"/>
      <c r="K16" s="7"/>
      <c r="L16" s="7"/>
      <c r="M16" s="7"/>
    </row>
    <row r="17" spans="3:13" ht="16">
      <c r="C17" s="53" t="s">
        <v>97</v>
      </c>
      <c r="D17" s="66" t="s">
        <v>94</v>
      </c>
      <c r="E17" s="66" t="s">
        <v>95</v>
      </c>
      <c r="F17" s="66" t="s">
        <v>96</v>
      </c>
      <c r="I17" s="7"/>
      <c r="J17" s="7"/>
      <c r="K17" s="7"/>
      <c r="L17" s="7"/>
      <c r="M17" s="9"/>
    </row>
    <row r="18" spans="3:13">
      <c r="C18" s="67" t="s">
        <v>98</v>
      </c>
      <c r="D18" s="76">
        <v>2.3E-2</v>
      </c>
      <c r="E18" s="77">
        <f>POWER(('Operating Forecast'!M8/'Operating Forecast'!H8),1/5)-1</f>
        <v>3.897088448772501E-2</v>
      </c>
      <c r="F18" s="78">
        <v>3.3000000000000002E-2</v>
      </c>
      <c r="I18" s="7"/>
      <c r="J18" s="7"/>
      <c r="K18" s="7"/>
      <c r="L18" s="7"/>
      <c r="M18" s="9"/>
    </row>
    <row r="19" spans="3:13">
      <c r="C19" s="79" t="s">
        <v>99</v>
      </c>
      <c r="D19" s="80">
        <v>1.7999999999999999E-2</v>
      </c>
      <c r="E19" s="39">
        <f>POWER(('Operating Forecast'!M10/'Operating Forecast'!H10),1/5)-1</f>
        <v>5.1454662843050336E-2</v>
      </c>
      <c r="F19" s="81">
        <v>2.8000000000000001E-2</v>
      </c>
      <c r="I19" s="7"/>
      <c r="J19" s="7"/>
      <c r="K19" s="7"/>
      <c r="L19" s="7"/>
      <c r="M19" s="9"/>
    </row>
    <row r="20" spans="3:13">
      <c r="C20" s="82" t="s">
        <v>100</v>
      </c>
      <c r="D20" s="83">
        <f>E20-1</f>
        <v>9.8894679398060568</v>
      </c>
      <c r="E20" s="83">
        <v>10.889467939806057</v>
      </c>
      <c r="F20" s="84">
        <f>E20+1</f>
        <v>11.889467939806057</v>
      </c>
      <c r="I20" s="7"/>
      <c r="J20" s="7"/>
      <c r="K20" s="7"/>
      <c r="L20" s="7"/>
      <c r="M20" s="9"/>
    </row>
    <row r="21" spans="3:13">
      <c r="I21" s="7"/>
      <c r="J21" s="7"/>
      <c r="K21" s="7"/>
      <c r="L21" s="7"/>
      <c r="M21" s="7"/>
    </row>
    <row r="22" spans="3:13">
      <c r="I22" s="7"/>
      <c r="J22" s="7"/>
      <c r="K22" s="7"/>
      <c r="L22" s="7"/>
      <c r="M22" s="7"/>
    </row>
    <row r="23" spans="3:13">
      <c r="I23" s="7"/>
      <c r="J23" s="7"/>
      <c r="K23" s="7"/>
      <c r="L23" s="7"/>
      <c r="M23" s="7"/>
    </row>
    <row r="24" spans="3:13">
      <c r="I24" s="7"/>
      <c r="J24" s="7"/>
      <c r="K24" s="7"/>
      <c r="L24" s="7"/>
      <c r="M24" s="7"/>
    </row>
    <row r="25" spans="3:13">
      <c r="I25" s="7"/>
      <c r="J25" s="7"/>
      <c r="K25" s="7"/>
      <c r="L25" s="7"/>
      <c r="M25" s="7"/>
    </row>
    <row r="28" spans="3:13">
      <c r="F28" s="7"/>
    </row>
  </sheetData>
  <mergeCells count="1"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Operating Forecast</vt:lpstr>
      <vt:lpstr>Multiples</vt:lpstr>
      <vt:lpstr>Cost of Capital</vt:lpstr>
      <vt:lpstr>Valuation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Campinos</cp:lastModifiedBy>
  <dcterms:created xsi:type="dcterms:W3CDTF">2026-03-08T11:31:19Z</dcterms:created>
  <dcterms:modified xsi:type="dcterms:W3CDTF">2026-03-15T23:34:02Z</dcterms:modified>
</cp:coreProperties>
</file>