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ntoniomaria/Desktop/Finance &amp; Career /AENA/"/>
    </mc:Choice>
  </mc:AlternateContent>
  <xr:revisionPtr revIDLastSave="0" documentId="13_ncr:1_{E084EDF7-285D-D443-B388-76A507E73461}" xr6:coauthVersionLast="47" xr6:coauthVersionMax="47" xr10:uidLastSave="{00000000-0000-0000-0000-000000000000}"/>
  <bookViews>
    <workbookView xWindow="920" yWindow="760" windowWidth="28440" windowHeight="18360" activeTab="4" xr2:uid="{00000000-000D-0000-FFFF-FFFF00000000}"/>
  </bookViews>
  <sheets>
    <sheet name="Cover" sheetId="5" r:id="rId1"/>
    <sheet name="Operating Forecast" sheetId="4" r:id="rId2"/>
    <sheet name="Multiples" sheetId="6" r:id="rId3"/>
    <sheet name="Cost of Capital" sheetId="3" r:id="rId4"/>
    <sheet name="Valuation" sheetId="7" r:id="rId5"/>
    <sheet name="Sensitivity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I18" i="7"/>
  <c r="D58" i="7"/>
  <c r="I14" i="7"/>
  <c r="H14" i="7"/>
  <c r="H16" i="7" s="1"/>
  <c r="G14" i="7"/>
  <c r="G16" i="7" s="1"/>
  <c r="F14" i="7"/>
  <c r="F16" i="7" s="1"/>
  <c r="E16" i="7"/>
  <c r="G42" i="7"/>
  <c r="E42" i="7"/>
  <c r="I41" i="7"/>
  <c r="I42" i="7" s="1"/>
  <c r="H41" i="7"/>
  <c r="H42" i="7" s="1"/>
  <c r="G41" i="7"/>
  <c r="F41" i="7"/>
  <c r="F42" i="7" s="1"/>
  <c r="E41" i="7"/>
  <c r="D41" i="7"/>
  <c r="D42" i="7" s="1"/>
  <c r="D36" i="7"/>
  <c r="D37" i="7" s="1"/>
  <c r="E35" i="7"/>
  <c r="E36" i="7" s="1"/>
  <c r="M18" i="4"/>
  <c r="M12" i="4"/>
  <c r="M16" i="4"/>
  <c r="L14" i="4"/>
  <c r="M14" i="4"/>
  <c r="M8" i="4"/>
  <c r="E18" i="1" s="1"/>
  <c r="D11" i="3"/>
  <c r="D10" i="3"/>
  <c r="E21" i="4"/>
  <c r="F21" i="4"/>
  <c r="G21" i="4"/>
  <c r="H21" i="4"/>
  <c r="I21" i="4"/>
  <c r="J21" i="4"/>
  <c r="K21" i="4"/>
  <c r="L21" i="4"/>
  <c r="D21" i="4"/>
  <c r="D19" i="4"/>
  <c r="E19" i="4"/>
  <c r="F19" i="4"/>
  <c r="G19" i="4"/>
  <c r="H19" i="4"/>
  <c r="I19" i="4"/>
  <c r="J19" i="4"/>
  <c r="K19" i="4"/>
  <c r="L19" i="4"/>
  <c r="C19" i="4"/>
  <c r="D17" i="4"/>
  <c r="E17" i="4"/>
  <c r="F17" i="4"/>
  <c r="G17" i="4"/>
  <c r="H17" i="4"/>
  <c r="I17" i="4"/>
  <c r="J17" i="4"/>
  <c r="K17" i="4"/>
  <c r="L17" i="4"/>
  <c r="C17" i="4"/>
  <c r="D15" i="4"/>
  <c r="E15" i="4"/>
  <c r="F15" i="4"/>
  <c r="G15" i="4"/>
  <c r="H15" i="4"/>
  <c r="I15" i="4"/>
  <c r="J15" i="4"/>
  <c r="K15" i="4"/>
  <c r="L15" i="4"/>
  <c r="C15" i="4"/>
  <c r="D13" i="4"/>
  <c r="E13" i="4"/>
  <c r="F13" i="4"/>
  <c r="G13" i="4"/>
  <c r="H13" i="4"/>
  <c r="I13" i="4"/>
  <c r="J13" i="4"/>
  <c r="K13" i="4"/>
  <c r="L13" i="4"/>
  <c r="C13" i="4"/>
  <c r="D11" i="4"/>
  <c r="E11" i="4"/>
  <c r="F11" i="4"/>
  <c r="G11" i="4"/>
  <c r="H11" i="4"/>
  <c r="I11" i="4"/>
  <c r="J11" i="4"/>
  <c r="K11" i="4"/>
  <c r="C11" i="4"/>
  <c r="E10" i="4"/>
  <c r="F10" i="4"/>
  <c r="G10" i="4"/>
  <c r="H10" i="4"/>
  <c r="I10" i="4"/>
  <c r="J10" i="4"/>
  <c r="K10" i="4"/>
  <c r="L10" i="4"/>
  <c r="L11" i="4" s="1"/>
  <c r="M10" i="4"/>
  <c r="E19" i="1" s="1"/>
  <c r="C10" i="4"/>
  <c r="D10" i="4"/>
  <c r="E9" i="4"/>
  <c r="F9" i="4"/>
  <c r="G9" i="4"/>
  <c r="H9" i="4"/>
  <c r="I9" i="4"/>
  <c r="J9" i="4"/>
  <c r="K9" i="4"/>
  <c r="L9" i="4"/>
  <c r="D9" i="4"/>
  <c r="G27" i="4"/>
  <c r="H27" i="4"/>
  <c r="I43" i="4"/>
  <c r="E46" i="4"/>
  <c r="H45" i="4"/>
  <c r="H46" i="4" s="1"/>
  <c r="G45" i="4"/>
  <c r="G46" i="4" s="1"/>
  <c r="F45" i="4"/>
  <c r="E45" i="4"/>
  <c r="F46" i="4" s="1"/>
  <c r="D45" i="4"/>
  <c r="C45" i="4"/>
  <c r="D46" i="4" s="1"/>
  <c r="H44" i="4"/>
  <c r="G44" i="4"/>
  <c r="F44" i="4"/>
  <c r="E44" i="4"/>
  <c r="D44" i="4"/>
  <c r="C44" i="4"/>
  <c r="H42" i="4"/>
  <c r="G42" i="4"/>
  <c r="F42" i="4"/>
  <c r="F47" i="4" s="1"/>
  <c r="E42" i="4"/>
  <c r="E47" i="4" s="1"/>
  <c r="D42" i="4"/>
  <c r="D47" i="4" s="1"/>
  <c r="C42" i="4"/>
  <c r="I40" i="4"/>
  <c r="I41" i="4" s="1"/>
  <c r="I42" i="4" s="1"/>
  <c r="M14" i="6"/>
  <c r="D43" i="7" l="1"/>
  <c r="D39" i="7"/>
  <c r="D44" i="7"/>
  <c r="E37" i="7"/>
  <c r="E39" i="7" s="1"/>
  <c r="I16" i="7"/>
  <c r="F35" i="7"/>
  <c r="M22" i="4"/>
  <c r="M13" i="4"/>
  <c r="M15" i="4"/>
  <c r="M17" i="4"/>
  <c r="M19" i="4"/>
  <c r="M9" i="4"/>
  <c r="M11" i="4"/>
  <c r="M21" i="4"/>
  <c r="I44" i="4"/>
  <c r="I47" i="4" s="1"/>
  <c r="J40" i="4"/>
  <c r="I45" i="4"/>
  <c r="I46" i="4" s="1"/>
  <c r="H10" i="6"/>
  <c r="O10" i="6" s="1"/>
  <c r="J10" i="6"/>
  <c r="F14" i="6"/>
  <c r="P14" i="6" s="1"/>
  <c r="F13" i="6"/>
  <c r="H13" i="6" s="1"/>
  <c r="F12" i="6"/>
  <c r="F11" i="6"/>
  <c r="P11" i="6" s="1"/>
  <c r="F9" i="6"/>
  <c r="H9" i="6" s="1"/>
  <c r="M9" i="6" s="1"/>
  <c r="F10" i="6"/>
  <c r="O14" i="6"/>
  <c r="N14" i="6"/>
  <c r="P13" i="6"/>
  <c r="O13" i="6"/>
  <c r="N13" i="6"/>
  <c r="M13" i="6"/>
  <c r="L16" i="6"/>
  <c r="K16" i="6"/>
  <c r="J16" i="6"/>
  <c r="I16" i="6"/>
  <c r="G16" i="6"/>
  <c r="E16" i="6"/>
  <c r="D16" i="6"/>
  <c r="L15" i="6"/>
  <c r="K15" i="6"/>
  <c r="J15" i="6"/>
  <c r="I15" i="6"/>
  <c r="G15" i="6"/>
  <c r="E15" i="6"/>
  <c r="D15" i="6"/>
  <c r="D14" i="3"/>
  <c r="D15" i="3" s="1"/>
  <c r="E43" i="7" l="1"/>
  <c r="E44" i="7"/>
  <c r="D20" i="7"/>
  <c r="D22" i="7" s="1"/>
  <c r="D23" i="7" s="1"/>
  <c r="G35" i="7"/>
  <c r="F36" i="7"/>
  <c r="F37" i="7" s="1"/>
  <c r="N9" i="6"/>
  <c r="O9" i="6"/>
  <c r="P9" i="6"/>
  <c r="P12" i="6"/>
  <c r="H12" i="6"/>
  <c r="H11" i="6"/>
  <c r="O11" i="6" s="1"/>
  <c r="F16" i="6"/>
  <c r="K40" i="4"/>
  <c r="J45" i="4"/>
  <c r="J46" i="4" s="1"/>
  <c r="J43" i="4"/>
  <c r="J44" i="4"/>
  <c r="J41" i="4"/>
  <c r="J42" i="4" s="1"/>
  <c r="M11" i="6"/>
  <c r="M10" i="6"/>
  <c r="N10" i="6"/>
  <c r="P10" i="6"/>
  <c r="P16" i="6" s="1"/>
  <c r="F15" i="6"/>
  <c r="F39" i="7" l="1"/>
  <c r="F43" i="7"/>
  <c r="F44" i="7"/>
  <c r="G36" i="7"/>
  <c r="G37" i="7" s="1"/>
  <c r="H35" i="7"/>
  <c r="N12" i="6"/>
  <c r="M12" i="6"/>
  <c r="M16" i="6" s="1"/>
  <c r="O12" i="6"/>
  <c r="N11" i="6"/>
  <c r="N16" i="6" s="1"/>
  <c r="J47" i="4"/>
  <c r="K41" i="4"/>
  <c r="K42" i="4" s="1"/>
  <c r="K44" i="4"/>
  <c r="L40" i="4"/>
  <c r="K45" i="4"/>
  <c r="K46" i="4" s="1"/>
  <c r="K43" i="4"/>
  <c r="K47" i="4" s="1"/>
  <c r="M15" i="6"/>
  <c r="P15" i="6"/>
  <c r="H15" i="6"/>
  <c r="H16" i="6"/>
  <c r="I35" i="7" l="1"/>
  <c r="I36" i="7" s="1"/>
  <c r="H36" i="7"/>
  <c r="H37" i="7" s="1"/>
  <c r="G39" i="7"/>
  <c r="G44" i="7"/>
  <c r="G43" i="7"/>
  <c r="N15" i="6"/>
  <c r="O16" i="6"/>
  <c r="O15" i="6"/>
  <c r="L41" i="4"/>
  <c r="L42" i="4" s="1"/>
  <c r="L44" i="4"/>
  <c r="L45" i="4"/>
  <c r="L46" i="4" s="1"/>
  <c r="L43" i="4"/>
  <c r="H44" i="7" l="1"/>
  <c r="H39" i="7"/>
  <c r="H43" i="7"/>
  <c r="I37" i="7"/>
  <c r="L47" i="4"/>
  <c r="I44" i="7" l="1"/>
  <c r="I39" i="7"/>
  <c r="I43" i="7"/>
</calcChain>
</file>

<file path=xl/sharedStrings.xml><?xml version="1.0" encoding="utf-8"?>
<sst xmlns="http://schemas.openxmlformats.org/spreadsheetml/2006/main" count="160" uniqueCount="114">
  <si>
    <t>AENA</t>
  </si>
  <si>
    <t xml:space="preserve">Sensitivity table </t>
  </si>
  <si>
    <t>Unlevered DCF Valuation</t>
  </si>
  <si>
    <t>FCFF</t>
  </si>
  <si>
    <t>Discount Factor</t>
  </si>
  <si>
    <t>PV of FCFF</t>
  </si>
  <si>
    <t>Terminal Value</t>
  </si>
  <si>
    <t>PV of Terminal Value</t>
  </si>
  <si>
    <t>Enterprise Value</t>
  </si>
  <si>
    <t>Equity Value</t>
  </si>
  <si>
    <t>Implied Share Price</t>
  </si>
  <si>
    <t>Discounted Cash Flow Analysis</t>
  </si>
  <si>
    <t>Cost of Capital Assumptions</t>
  </si>
  <si>
    <t>Risk-free rate</t>
  </si>
  <si>
    <t>Beta</t>
  </si>
  <si>
    <t>Market risk premium</t>
  </si>
  <si>
    <t>Cost of equity</t>
  </si>
  <si>
    <t>Cost of debt</t>
  </si>
  <si>
    <t>Tax rate</t>
  </si>
  <si>
    <t>Debt weight</t>
  </si>
  <si>
    <t>Equity weight</t>
  </si>
  <si>
    <t>WACC</t>
  </si>
  <si>
    <t>Terminal growth (g)</t>
  </si>
  <si>
    <t>Net debt</t>
  </si>
  <si>
    <t>Diluted shares out</t>
  </si>
  <si>
    <t>Income Statement / Cash Flow Build</t>
  </si>
  <si>
    <t>Revenue</t>
  </si>
  <si>
    <t>EBIT</t>
  </si>
  <si>
    <t>NOPAT</t>
  </si>
  <si>
    <t>D&amp;A</t>
  </si>
  <si>
    <t>Capex</t>
  </si>
  <si>
    <t>NWC</t>
  </si>
  <si>
    <t>Change in NWC</t>
  </si>
  <si>
    <t>N/A</t>
  </si>
  <si>
    <t>Forecast Drivers / Assumptions</t>
  </si>
  <si>
    <t>EBIT/Revenue</t>
  </si>
  <si>
    <t>D&amp;A % Revenue</t>
  </si>
  <si>
    <t>Capex % Revenue</t>
  </si>
  <si>
    <t>NWC % Revenue</t>
  </si>
  <si>
    <t>Tax Rate %</t>
  </si>
  <si>
    <t>Total Passengers</t>
  </si>
  <si>
    <t xml:space="preserve">Revenue growth % </t>
  </si>
  <si>
    <t>Passenger growth %</t>
  </si>
  <si>
    <t>Revenue p/passenger growth %</t>
  </si>
  <si>
    <t xml:space="preserve">Forecast growth (RPP*P) </t>
  </si>
  <si>
    <t>AENA DCF Valuation</t>
  </si>
  <si>
    <t>DCF Analysis</t>
  </si>
  <si>
    <t>ANTÓNIO MARIA</t>
  </si>
  <si>
    <t>DE BOURA LOBO CAMPINOS</t>
  </si>
  <si>
    <t>Forecasted values</t>
  </si>
  <si>
    <t>Valuation Diagnostics</t>
  </si>
  <si>
    <t>Invested Capital</t>
  </si>
  <si>
    <t>ROIC</t>
  </si>
  <si>
    <t>Spread</t>
  </si>
  <si>
    <t>Reinvestment</t>
  </si>
  <si>
    <t>Reinvestment rate</t>
  </si>
  <si>
    <t>ROIC * Reinvestment</t>
  </si>
  <si>
    <t>Actual Revenue growth</t>
  </si>
  <si>
    <t>Net PP&amp;E</t>
  </si>
  <si>
    <t>Implied growth</t>
  </si>
  <si>
    <t>Market Data</t>
  </si>
  <si>
    <t>Financial Data</t>
  </si>
  <si>
    <t>Multiple Valuation</t>
  </si>
  <si>
    <t>Share Price</t>
  </si>
  <si>
    <t>Shares Outstanding</t>
  </si>
  <si>
    <t>Market Cap</t>
  </si>
  <si>
    <t>Net Financial Debt</t>
  </si>
  <si>
    <t>Enterprise Value (EV)</t>
  </si>
  <si>
    <t>Sales</t>
  </si>
  <si>
    <t>EBITDA</t>
  </si>
  <si>
    <t>Net Income</t>
  </si>
  <si>
    <t>EV/Sales</t>
  </si>
  <si>
    <t>EV/EBIT</t>
  </si>
  <si>
    <t>EV/EBITDA</t>
  </si>
  <si>
    <t>P/E</t>
  </si>
  <si>
    <t>Company Name</t>
  </si>
  <si>
    <t>(share)</t>
  </si>
  <si>
    <t>x</t>
  </si>
  <si>
    <t>Average</t>
  </si>
  <si>
    <t>Median</t>
  </si>
  <si>
    <t>Multiples</t>
  </si>
  <si>
    <t>Flughafen Zürich AG </t>
  </si>
  <si>
    <t>Aéroports de Paris SA</t>
  </si>
  <si>
    <t>Fraport AG</t>
  </si>
  <si>
    <t>Copenhagen Airport</t>
  </si>
  <si>
    <t>Corporación América Airports</t>
  </si>
  <si>
    <t>Q4 --&gt; 2024</t>
  </si>
  <si>
    <t>H1/H2 2025/2024</t>
  </si>
  <si>
    <t xml:space="preserve">    EBITDA Margin %</t>
  </si>
  <si>
    <t xml:space="preserve">    Revenue Growth</t>
  </si>
  <si>
    <t xml:space="preserve">    % of revenue</t>
  </si>
  <si>
    <t xml:space="preserve">    EBIT Margin %</t>
  </si>
  <si>
    <t xml:space="preserve">    NOPAT Margin %</t>
  </si>
  <si>
    <t xml:space="preserve">    % of Revenue</t>
  </si>
  <si>
    <t>(EUR in thousands, fiscal year ending December 31)</t>
  </si>
  <si>
    <t>(eur)</t>
  </si>
  <si>
    <t>Bear</t>
  </si>
  <si>
    <t>Base</t>
  </si>
  <si>
    <t>Bull</t>
  </si>
  <si>
    <t>Assumption</t>
  </si>
  <si>
    <t>Revenue growth</t>
  </si>
  <si>
    <t xml:space="preserve">EBITDA growth </t>
  </si>
  <si>
    <t>Exit multiple</t>
  </si>
  <si>
    <t xml:space="preserve">Growth rate </t>
  </si>
  <si>
    <t>WACC / Terminal g</t>
  </si>
  <si>
    <t xml:space="preserve">  - Net Debt</t>
  </si>
  <si>
    <t>DCF implied share price</t>
  </si>
  <si>
    <t>Market price (end. 2025)</t>
  </si>
  <si>
    <t>Upside / Downside</t>
  </si>
  <si>
    <t>Valuation Summary</t>
  </si>
  <si>
    <t xml:space="preserve">  - Net debt </t>
  </si>
  <si>
    <t>Forecasts, CoC, Multiples, Valuation &amp; Sensitivity</t>
  </si>
  <si>
    <t>(EUR, fiscal year ending December 31)</t>
  </si>
  <si>
    <t>(fiscal year ending December 31)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</si>
</sst>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0.000%"/>
    <numFmt numFmtId="166" formatCode="0.0000%"/>
    <numFmt numFmtId="167" formatCode="#,##0.00;\(#,##0.00\)"/>
    <numFmt numFmtId="168" formatCode="0.00\x"/>
    <numFmt numFmtId="185" formatCode="_-* #,##0.00_-;\-* #,##0.00_-;_-* &quot;-&quot;???_-;_-@_-"/>
  </numFmts>
  <fonts count="3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name val="MS Sans Serif"/>
      <family val="2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 Narrow (Body)"/>
    </font>
    <font>
      <sz val="12"/>
      <color rgb="FF000000"/>
      <name val="Aptos Narrow (Body)"/>
    </font>
    <font>
      <sz val="10"/>
      <name val="Arial"/>
      <family val="2"/>
    </font>
    <font>
      <i/>
      <sz val="10"/>
      <color theme="0"/>
      <name val="Calibri"/>
      <family val="2"/>
      <scheme val="minor"/>
    </font>
    <font>
      <sz val="48"/>
      <name val="Franklin Gothic Medium Cond"/>
      <family val="2"/>
    </font>
    <font>
      <sz val="10"/>
      <color indexed="12"/>
      <name val="Arial"/>
      <family val="2"/>
    </font>
    <font>
      <i/>
      <sz val="26"/>
      <name val="Garamond"/>
      <family val="1"/>
    </font>
    <font>
      <sz val="24"/>
      <name val="Franklin Gothic Medium Cond"/>
      <family val="2"/>
    </font>
    <font>
      <sz val="18"/>
      <name val="Garamond"/>
      <family val="1"/>
    </font>
    <font>
      <sz val="11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1"/>
      <color rgb="FF000000"/>
      <name val="Aptos Narrow"/>
    </font>
    <font>
      <b/>
      <sz val="11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7" fillId="3" borderId="0" applyNumberFormat="0" applyBorder="0" applyAlignment="0" applyProtection="0"/>
    <xf numFmtId="0" fontId="2" fillId="4" borderId="0" applyNumberFormat="0" applyBorder="0" applyAlignment="0" applyProtection="0"/>
    <xf numFmtId="0" fontId="8" fillId="0" borderId="0" applyNumberFormat="0" applyFill="0" applyBorder="0" applyAlignment="0" applyProtection="0"/>
    <xf numFmtId="0" fontId="15" fillId="0" borderId="0" applyFill="0" applyBorder="0" applyProtection="0">
      <protection locked="0"/>
    </xf>
    <xf numFmtId="0" fontId="15" fillId="0" borderId="0"/>
  </cellStyleXfs>
  <cellXfs count="102">
    <xf numFmtId="0" fontId="0" fillId="0" borderId="0" xfId="0"/>
    <xf numFmtId="0" fontId="7" fillId="3" borderId="0" xfId="4" applyBorder="1"/>
    <xf numFmtId="0" fontId="7" fillId="3" borderId="0" xfId="4"/>
    <xf numFmtId="0" fontId="5" fillId="3" borderId="0" xfId="4" applyFont="1" applyBorder="1"/>
    <xf numFmtId="0" fontId="9" fillId="3" borderId="0" xfId="4" applyFont="1" applyBorder="1"/>
    <xf numFmtId="0" fontId="10" fillId="3" borderId="0" xfId="4" applyFont="1" applyBorder="1"/>
    <xf numFmtId="0" fontId="11" fillId="3" borderId="0" xfId="4" applyFont="1" applyBorder="1"/>
    <xf numFmtId="164" fontId="0" fillId="0" borderId="0" xfId="2" applyNumberFormat="1" applyFont="1"/>
    <xf numFmtId="10" fontId="0" fillId="0" borderId="0" xfId="2" applyNumberFormat="1" applyFont="1"/>
    <xf numFmtId="43" fontId="0" fillId="0" borderId="0" xfId="0" applyNumberFormat="1"/>
    <xf numFmtId="0" fontId="13" fillId="0" borderId="0" xfId="0" applyFont="1"/>
    <xf numFmtId="10" fontId="0" fillId="0" borderId="0" xfId="0" applyNumberFormat="1"/>
    <xf numFmtId="165" fontId="0" fillId="0" borderId="0" xfId="2" applyNumberFormat="1" applyFont="1"/>
    <xf numFmtId="166" fontId="0" fillId="0" borderId="0" xfId="2" applyNumberFormat="1" applyFont="1"/>
    <xf numFmtId="166" fontId="0" fillId="0" borderId="0" xfId="0" applyNumberFormat="1"/>
    <xf numFmtId="0" fontId="14" fillId="0" borderId="0" xfId="0" applyFont="1"/>
    <xf numFmtId="164" fontId="0" fillId="0" borderId="0" xfId="0" applyNumberFormat="1"/>
    <xf numFmtId="0" fontId="7" fillId="3" borderId="0" xfId="4" applyBorder="1" applyProtection="1"/>
    <xf numFmtId="0" fontId="7" fillId="3" borderId="0" xfId="4" applyBorder="1" applyAlignment="1" applyProtection="1">
      <alignment horizontal="center"/>
    </xf>
    <xf numFmtId="0" fontId="6" fillId="0" borderId="1" xfId="0" applyFont="1" applyBorder="1"/>
    <xf numFmtId="43" fontId="6" fillId="0" borderId="1" xfId="2" applyNumberFormat="1" applyFont="1" applyBorder="1"/>
    <xf numFmtId="0" fontId="2" fillId="0" borderId="0" xfId="0" applyFont="1"/>
    <xf numFmtId="43" fontId="0" fillId="0" borderId="0" xfId="2" applyNumberFormat="1" applyFont="1"/>
    <xf numFmtId="43" fontId="6" fillId="0" borderId="1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15" fillId="0" borderId="0" xfId="8"/>
    <xf numFmtId="0" fontId="17" fillId="0" borderId="0" xfId="0" applyFont="1" applyAlignment="1">
      <alignment horizontal="center"/>
    </xf>
    <xf numFmtId="0" fontId="18" fillId="0" borderId="0" xfId="8" applyFont="1"/>
    <xf numFmtId="0" fontId="19" fillId="0" borderId="0" xfId="0" applyFont="1" applyAlignment="1">
      <alignment horizontal="center"/>
    </xf>
    <xf numFmtId="0" fontId="19" fillId="0" borderId="0" xfId="8" applyFont="1" applyAlignment="1">
      <alignment horizontal="center"/>
    </xf>
    <xf numFmtId="0" fontId="20" fillId="0" borderId="0" xfId="8" applyFont="1" applyAlignment="1">
      <alignment horizontal="center"/>
    </xf>
    <xf numFmtId="0" fontId="21" fillId="0" borderId="0" xfId="8" applyFont="1"/>
    <xf numFmtId="164" fontId="3" fillId="0" borderId="0" xfId="2" applyNumberFormat="1" applyFont="1" applyAlignment="1">
      <alignment horizontal="center"/>
    </xf>
    <xf numFmtId="43" fontId="2" fillId="2" borderId="0" xfId="3" applyNumberFormat="1" applyFont="1" applyBorder="1"/>
    <xf numFmtId="164" fontId="2" fillId="2" borderId="0" xfId="3" applyNumberFormat="1" applyFont="1" applyBorder="1"/>
    <xf numFmtId="0" fontId="5" fillId="3" borderId="2" xfId="4" applyFont="1" applyBorder="1" applyAlignment="1">
      <alignment horizontal="center"/>
    </xf>
    <xf numFmtId="0" fontId="7" fillId="3" borderId="2" xfId="4" applyBorder="1" applyAlignment="1">
      <alignment horizontal="left"/>
    </xf>
    <xf numFmtId="0" fontId="7" fillId="3" borderId="2" xfId="4" applyBorder="1"/>
    <xf numFmtId="9" fontId="7" fillId="3" borderId="2" xfId="4" applyNumberFormat="1" applyBorder="1"/>
    <xf numFmtId="0" fontId="7" fillId="3" borderId="0" xfId="4" applyBorder="1" applyAlignment="1">
      <alignment horizontal="right"/>
    </xf>
    <xf numFmtId="0" fontId="16" fillId="3" borderId="0" xfId="4" applyFont="1" applyBorder="1"/>
    <xf numFmtId="0" fontId="5" fillId="3" borderId="2" xfId="4" applyFont="1" applyBorder="1"/>
    <xf numFmtId="43" fontId="6" fillId="2" borderId="1" xfId="3" applyNumberFormat="1" applyFont="1" applyBorder="1"/>
    <xf numFmtId="0" fontId="2" fillId="4" borderId="0" xfId="5" applyAlignment="1">
      <alignment horizontal="center"/>
    </xf>
    <xf numFmtId="0" fontId="6" fillId="4" borderId="0" xfId="5" applyFont="1" applyAlignment="1">
      <alignment horizontal="center"/>
    </xf>
    <xf numFmtId="164" fontId="2" fillId="0" borderId="0" xfId="2" applyNumberFormat="1" applyFont="1"/>
    <xf numFmtId="164" fontId="2" fillId="0" borderId="0" xfId="1" applyNumberFormat="1" applyFont="1"/>
    <xf numFmtId="10" fontId="2" fillId="2" borderId="0" xfId="3" applyNumberFormat="1" applyFont="1" applyBorder="1"/>
    <xf numFmtId="168" fontId="0" fillId="0" borderId="0" xfId="0" applyNumberFormat="1"/>
    <xf numFmtId="0" fontId="7" fillId="3" borderId="0" xfId="4" applyAlignment="1">
      <alignment horizontal="center"/>
    </xf>
    <xf numFmtId="0" fontId="6" fillId="2" borderId="0" xfId="3" applyFont="1" applyBorder="1" applyAlignment="1">
      <alignment horizontal="center"/>
    </xf>
    <xf numFmtId="0" fontId="0" fillId="0" borderId="0" xfId="0" applyBorder="1"/>
    <xf numFmtId="43" fontId="0" fillId="0" borderId="0" xfId="0" applyNumberFormat="1" applyBorder="1"/>
    <xf numFmtId="43" fontId="1" fillId="2" borderId="0" xfId="3" applyNumberFormat="1" applyFont="1" applyBorder="1"/>
    <xf numFmtId="43" fontId="0" fillId="0" borderId="0" xfId="0" applyNumberFormat="1" applyBorder="1" applyAlignment="1">
      <alignment horizontal="right"/>
    </xf>
    <xf numFmtId="43" fontId="6" fillId="0" borderId="0" xfId="2" applyNumberFormat="1" applyFont="1" applyBorder="1" applyAlignment="1">
      <alignment horizontal="right"/>
    </xf>
    <xf numFmtId="0" fontId="26" fillId="0" borderId="0" xfId="0" applyFont="1" applyBorder="1" applyAlignment="1">
      <alignment horizontal="left"/>
    </xf>
    <xf numFmtId="0" fontId="26" fillId="0" borderId="0" xfId="0" applyFont="1" applyFill="1" applyBorder="1" applyAlignment="1">
      <alignment horizontal="left"/>
    </xf>
    <xf numFmtId="164" fontId="27" fillId="0" borderId="0" xfId="2" applyNumberFormat="1" applyFont="1" applyBorder="1"/>
    <xf numFmtId="164" fontId="28" fillId="2" borderId="0" xfId="3" applyNumberFormat="1" applyFont="1" applyBorder="1"/>
    <xf numFmtId="164" fontId="28" fillId="0" borderId="0" xfId="2" applyNumberFormat="1" applyFont="1" applyBorder="1"/>
    <xf numFmtId="164" fontId="27" fillId="0" borderId="0" xfId="2" applyNumberFormat="1" applyFont="1" applyBorder="1" applyAlignment="1">
      <alignment horizontal="right"/>
    </xf>
    <xf numFmtId="164" fontId="28" fillId="2" borderId="0" xfId="3" applyNumberFormat="1" applyFont="1" applyBorder="1" applyAlignment="1">
      <alignment horizontal="right"/>
    </xf>
    <xf numFmtId="0" fontId="7" fillId="3" borderId="0" xfId="4" applyBorder="1" applyAlignment="1">
      <alignment horizontal="center"/>
    </xf>
    <xf numFmtId="0" fontId="24" fillId="0" borderId="0" xfId="0" applyFont="1" applyBorder="1"/>
    <xf numFmtId="167" fontId="24" fillId="0" borderId="0" xfId="0" applyNumberFormat="1" applyFont="1" applyBorder="1"/>
    <xf numFmtId="43" fontId="12" fillId="0" borderId="0" xfId="0" applyNumberFormat="1" applyFont="1" applyBorder="1"/>
    <xf numFmtId="168" fontId="24" fillId="0" borderId="0" xfId="0" applyNumberFormat="1" applyFont="1" applyBorder="1"/>
    <xf numFmtId="167" fontId="0" fillId="0" borderId="0" xfId="0" applyNumberFormat="1" applyBorder="1"/>
    <xf numFmtId="168" fontId="0" fillId="0" borderId="0" xfId="0" applyNumberFormat="1" applyBorder="1"/>
    <xf numFmtId="0" fontId="22" fillId="0" borderId="0" xfId="0" applyFont="1" applyBorder="1"/>
    <xf numFmtId="0" fontId="23" fillId="0" borderId="0" xfId="0" applyFont="1" applyBorder="1"/>
    <xf numFmtId="0" fontId="23" fillId="0" borderId="1" xfId="0" applyFont="1" applyBorder="1"/>
    <xf numFmtId="167" fontId="0" fillId="0" borderId="1" xfId="0" applyNumberFormat="1" applyBorder="1"/>
    <xf numFmtId="0" fontId="7" fillId="3" borderId="2" xfId="4" applyBorder="1" applyAlignment="1">
      <alignment horizontal="center"/>
    </xf>
    <xf numFmtId="0" fontId="6" fillId="4" borderId="0" xfId="5" applyNumberFormat="1" applyFont="1" applyAlignment="1">
      <alignment horizontal="center"/>
    </xf>
    <xf numFmtId="0" fontId="5" fillId="3" borderId="2" xfId="4" applyFont="1" applyBorder="1" applyAlignment="1">
      <alignment horizontal="center"/>
    </xf>
    <xf numFmtId="0" fontId="5" fillId="3" borderId="2" xfId="4" applyFont="1" applyBorder="1"/>
    <xf numFmtId="9" fontId="0" fillId="0" borderId="0" xfId="0" applyNumberFormat="1"/>
    <xf numFmtId="0" fontId="5" fillId="3" borderId="0" xfId="4" applyFont="1"/>
    <xf numFmtId="0" fontId="0" fillId="0" borderId="1" xfId="0" applyBorder="1"/>
    <xf numFmtId="43" fontId="0" fillId="0" borderId="1" xfId="0" applyNumberFormat="1" applyBorder="1"/>
    <xf numFmtId="0" fontId="7" fillId="3" borderId="2" xfId="4" applyBorder="1" applyAlignment="1">
      <alignment horizontal="center"/>
    </xf>
    <xf numFmtId="2" fontId="0" fillId="0" borderId="0" xfId="0" applyNumberFormat="1"/>
    <xf numFmtId="43" fontId="6" fillId="2" borderId="0" xfId="3" applyNumberFormat="1" applyFont="1" applyAlignment="1">
      <alignment horizontal="center"/>
    </xf>
    <xf numFmtId="43" fontId="3" fillId="2" borderId="0" xfId="3" applyNumberFormat="1" applyFont="1"/>
    <xf numFmtId="166" fontId="3" fillId="2" borderId="0" xfId="3" applyNumberFormat="1" applyFont="1"/>
    <xf numFmtId="10" fontId="3" fillId="2" borderId="0" xfId="3" applyNumberFormat="1" applyFont="1"/>
    <xf numFmtId="43" fontId="29" fillId="0" borderId="0" xfId="0" applyNumberFormat="1" applyFont="1"/>
    <xf numFmtId="43" fontId="3" fillId="2" borderId="1" xfId="3" applyNumberFormat="1" applyFont="1" applyBorder="1"/>
    <xf numFmtId="0" fontId="12" fillId="0" borderId="1" xfId="0" applyFont="1" applyBorder="1"/>
    <xf numFmtId="43" fontId="12" fillId="0" borderId="1" xfId="0" applyNumberFormat="1" applyFont="1" applyBorder="1"/>
    <xf numFmtId="0" fontId="12" fillId="0" borderId="0" xfId="0" applyFont="1" applyAlignment="1">
      <alignment horizontal="center"/>
    </xf>
    <xf numFmtId="165" fontId="0" fillId="0" borderId="0" xfId="0" applyNumberFormat="1"/>
    <xf numFmtId="0" fontId="1" fillId="2" borderId="0" xfId="3" applyFont="1"/>
    <xf numFmtId="0" fontId="3" fillId="2" borderId="0" xfId="3" applyFont="1"/>
    <xf numFmtId="165" fontId="3" fillId="2" borderId="0" xfId="3" applyNumberFormat="1" applyFont="1"/>
    <xf numFmtId="164" fontId="3" fillId="2" borderId="0" xfId="3" applyNumberFormat="1" applyFont="1"/>
    <xf numFmtId="185" fontId="12" fillId="0" borderId="1" xfId="2" applyNumberFormat="1" applyFont="1" applyBorder="1"/>
    <xf numFmtId="0" fontId="27" fillId="0" borderId="0" xfId="0" applyFont="1"/>
    <xf numFmtId="165" fontId="30" fillId="0" borderId="1" xfId="0" applyNumberFormat="1" applyFont="1" applyBorder="1"/>
    <xf numFmtId="10" fontId="3" fillId="0" borderId="0" xfId="2" applyNumberFormat="1" applyFont="1" applyAlignment="1">
      <alignment horizontal="center"/>
    </xf>
  </cellXfs>
  <cellStyles count="9">
    <cellStyle name="_x000a_386grabber=M" xfId="6" xr:uid="{B52C3E28-7C4F-4347-98B2-3507D3681DDE}"/>
    <cellStyle name="60% - Accent1" xfId="5" builtinId="32"/>
    <cellStyle name="Accent1" xfId="4" builtinId="29"/>
    <cellStyle name="AFE" xfId="7" xr:uid="{D7F614F3-3DC6-5C4A-AE9C-9FEB4A04F870}"/>
    <cellStyle name="Comma" xfId="1" builtinId="3"/>
    <cellStyle name="Neutral" xfId="3" builtinId="28"/>
    <cellStyle name="Normal" xfId="0" builtinId="0"/>
    <cellStyle name="Normal_Comparable Companies_Completed v2-18-09" xfId="8" xr:uid="{7DC58894-13C5-5547-8A78-0642158724CC}"/>
    <cellStyle name="Per 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22AD-5EB8-7343-9B42-28C8A23EC153}">
  <dimension ref="C6:O21"/>
  <sheetViews>
    <sheetView showGridLines="0" zoomScale="112" workbookViewId="0">
      <selection activeCell="G8" sqref="G8"/>
    </sheetView>
  </sheetViews>
  <sheetFormatPr baseColWidth="10" defaultColWidth="9.1640625" defaultRowHeight="13"/>
  <cols>
    <col min="1" max="16384" width="9.1640625" style="25"/>
  </cols>
  <sheetData>
    <row r="6" spans="7:15" ht="59">
      <c r="G6" s="26" t="s">
        <v>45</v>
      </c>
      <c r="H6" s="27"/>
      <c r="O6" s="27"/>
    </row>
    <row r="7" spans="7:15" ht="34">
      <c r="G7" s="28" t="s">
        <v>111</v>
      </c>
    </row>
    <row r="8" spans="7:15" ht="34">
      <c r="G8" s="29"/>
    </row>
    <row r="12" spans="7:15" ht="30">
      <c r="G12" s="30" t="s">
        <v>46</v>
      </c>
    </row>
    <row r="20" spans="3:3" ht="24">
      <c r="C20" s="31" t="s">
        <v>47</v>
      </c>
    </row>
    <row r="21" spans="3:3" ht="24">
      <c r="C21" s="31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EE95D-3E2F-EB41-AF43-CF50E43CAAD6}">
  <dimension ref="A1:P36"/>
  <sheetViews>
    <sheetView showGridLines="0" zoomScale="85" zoomScaleNormal="110" workbookViewId="0">
      <selection activeCell="I18" sqref="I18"/>
    </sheetView>
  </sheetViews>
  <sheetFormatPr baseColWidth="10" defaultRowHeight="15"/>
  <cols>
    <col min="2" max="2" width="31.83203125" bestFit="1" customWidth="1"/>
    <col min="3" max="3" width="24.83203125" bestFit="1" customWidth="1"/>
    <col min="4" max="8" width="14.83203125" bestFit="1" customWidth="1"/>
    <col min="9" max="13" width="15.1640625" bestFit="1" customWidth="1"/>
    <col min="14" max="14" width="15" bestFit="1" customWidth="1"/>
  </cols>
  <sheetData>
    <row r="1" spans="1:16" ht="26">
      <c r="A1" s="6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  <c r="P1" s="1"/>
    </row>
    <row r="2" spans="1:16" ht="21" customHeight="1">
      <c r="A2" s="4" t="s">
        <v>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  <c r="P2" s="1"/>
    </row>
    <row r="3" spans="1:16" ht="16">
      <c r="A3" s="40" t="s">
        <v>94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39"/>
      <c r="O3" s="1"/>
      <c r="P3" s="39"/>
    </row>
    <row r="5" spans="1:16" ht="16">
      <c r="G5" s="9"/>
      <c r="H5" s="9"/>
      <c r="I5" s="50" t="s">
        <v>49</v>
      </c>
      <c r="J5" s="50"/>
      <c r="K5" s="50"/>
      <c r="L5" s="50"/>
      <c r="M5" s="50"/>
    </row>
    <row r="6" spans="1:16" ht="16">
      <c r="C6" s="43">
        <v>2020</v>
      </c>
      <c r="D6" s="43">
        <v>2021</v>
      </c>
      <c r="E6" s="43">
        <v>2022</v>
      </c>
      <c r="F6" s="43">
        <v>2023</v>
      </c>
      <c r="G6" s="43">
        <v>2024</v>
      </c>
      <c r="H6" s="43">
        <v>2025</v>
      </c>
      <c r="I6" s="44">
        <v>2026</v>
      </c>
      <c r="J6" s="44">
        <v>2027</v>
      </c>
      <c r="K6" s="44">
        <v>2028</v>
      </c>
      <c r="L6" s="44">
        <v>2029</v>
      </c>
      <c r="M6" s="44">
        <v>2030</v>
      </c>
    </row>
    <row r="7" spans="1:16" ht="16">
      <c r="B7" s="35" t="s">
        <v>25</v>
      </c>
      <c r="C7" s="35"/>
      <c r="D7" s="36"/>
      <c r="E7" s="37"/>
      <c r="F7" s="37"/>
      <c r="G7" s="37"/>
      <c r="H7" s="37"/>
      <c r="I7" s="37"/>
      <c r="J7" s="37"/>
      <c r="K7" s="37"/>
      <c r="L7" s="37"/>
      <c r="M7" s="37"/>
    </row>
    <row r="8" spans="1:16" ht="16">
      <c r="B8" t="s">
        <v>26</v>
      </c>
      <c r="C8" s="9">
        <v>2042183</v>
      </c>
      <c r="D8" s="9">
        <v>2134973</v>
      </c>
      <c r="E8" s="9">
        <v>3667058</v>
      </c>
      <c r="F8" s="9">
        <v>4386767</v>
      </c>
      <c r="G8" s="9">
        <v>5021501</v>
      </c>
      <c r="H8" s="9">
        <v>5357335</v>
      </c>
      <c r="I8" s="33">
        <v>5622758.8052399997</v>
      </c>
      <c r="J8" s="33">
        <v>5867022.6932572369</v>
      </c>
      <c r="K8" s="33">
        <v>6098030.8447815478</v>
      </c>
      <c r="L8" s="33">
        <v>6325731.3165256903</v>
      </c>
      <c r="M8" s="33">
        <f>L8*(1+(SUM(M33:M36)/4))</f>
        <v>6502345.7348830868</v>
      </c>
    </row>
    <row r="9" spans="1:16" ht="16">
      <c r="B9" s="56" t="s">
        <v>89</v>
      </c>
      <c r="C9" s="52"/>
      <c r="D9" s="58">
        <f>(D8-C8)/C8</f>
        <v>4.5436672423578101E-2</v>
      </c>
      <c r="E9" s="58">
        <f t="shared" ref="E9:M9" si="0">(E8-D8)/D8</f>
        <v>0.71761329065988189</v>
      </c>
      <c r="F9" s="58">
        <f t="shared" si="0"/>
        <v>0.19626332607774408</v>
      </c>
      <c r="G9" s="58">
        <f t="shared" si="0"/>
        <v>0.14469289114283937</v>
      </c>
      <c r="H9" s="58">
        <f t="shared" si="0"/>
        <v>6.6879206038194555E-2</v>
      </c>
      <c r="I9" s="59">
        <f t="shared" si="0"/>
        <v>4.9543999999999935E-2</v>
      </c>
      <c r="J9" s="59">
        <f t="shared" si="0"/>
        <v>4.3442000000000203E-2</v>
      </c>
      <c r="K9" s="59">
        <f t="shared" si="0"/>
        <v>3.9374000000000083E-2</v>
      </c>
      <c r="L9" s="59">
        <f t="shared" si="0"/>
        <v>3.7339999999999915E-2</v>
      </c>
      <c r="M9" s="59">
        <f t="shared" si="0"/>
        <v>2.7919999999999879E-2</v>
      </c>
    </row>
    <row r="10" spans="1:16" ht="16">
      <c r="B10" s="51" t="s">
        <v>69</v>
      </c>
      <c r="C10" s="52">
        <f>C14+C12</f>
        <v>815081</v>
      </c>
      <c r="D10" s="52">
        <f>D14+D12</f>
        <v>707494</v>
      </c>
      <c r="E10" s="52">
        <f t="shared" ref="E10:M10" si="1">E14+E12</f>
        <v>1892306</v>
      </c>
      <c r="F10" s="52">
        <f t="shared" si="1"/>
        <v>2676426</v>
      </c>
      <c r="G10" s="52">
        <f t="shared" si="1"/>
        <v>3182790</v>
      </c>
      <c r="H10" s="52">
        <f t="shared" si="1"/>
        <v>3401061</v>
      </c>
      <c r="I10" s="53">
        <f t="shared" si="1"/>
        <v>3742928.9758388959</v>
      </c>
      <c r="J10" s="53">
        <f t="shared" si="1"/>
        <v>3805541.4219971406</v>
      </c>
      <c r="K10" s="53">
        <f t="shared" si="1"/>
        <v>3922614.7309006643</v>
      </c>
      <c r="L10" s="53">
        <f t="shared" si="1"/>
        <v>4001165.364545933</v>
      </c>
      <c r="M10" s="53">
        <f t="shared" si="1"/>
        <v>4044459.0470972797</v>
      </c>
    </row>
    <row r="11" spans="1:16" ht="16">
      <c r="B11" s="57" t="s">
        <v>88</v>
      </c>
      <c r="C11" s="58">
        <f>C10/C8</f>
        <v>0.39912240969589896</v>
      </c>
      <c r="D11" s="58">
        <f t="shared" ref="D11:M11" si="2">D10/D8</f>
        <v>0.33138311351010058</v>
      </c>
      <c r="E11" s="58">
        <f t="shared" si="2"/>
        <v>0.51602838024378128</v>
      </c>
      <c r="F11" s="58">
        <f t="shared" si="2"/>
        <v>0.61011355287390467</v>
      </c>
      <c r="G11" s="58">
        <f t="shared" si="2"/>
        <v>0.63383239393958102</v>
      </c>
      <c r="H11" s="58">
        <f t="shared" si="2"/>
        <v>0.63484195033538127</v>
      </c>
      <c r="I11" s="59">
        <f t="shared" si="2"/>
        <v>0.66567482360274111</v>
      </c>
      <c r="J11" s="59">
        <f t="shared" si="2"/>
        <v>0.6486324701574302</v>
      </c>
      <c r="K11" s="59">
        <f t="shared" si="2"/>
        <v>0.64325924724658978</v>
      </c>
      <c r="L11" s="59">
        <f t="shared" si="2"/>
        <v>0.63252218033558705</v>
      </c>
      <c r="M11" s="59">
        <f t="shared" si="2"/>
        <v>0.622</v>
      </c>
    </row>
    <row r="12" spans="1:16" ht="16">
      <c r="B12" s="51" t="s">
        <v>29</v>
      </c>
      <c r="C12" s="52">
        <v>721370</v>
      </c>
      <c r="D12" s="52">
        <v>715550</v>
      </c>
      <c r="E12" s="52">
        <v>718685</v>
      </c>
      <c r="F12" s="52">
        <v>731721</v>
      </c>
      <c r="G12" s="52">
        <v>730480</v>
      </c>
      <c r="H12" s="52">
        <v>668339</v>
      </c>
      <c r="I12" s="33">
        <v>819094.39711409539</v>
      </c>
      <c r="J12" s="33">
        <v>813359.84843595012</v>
      </c>
      <c r="K12" s="33">
        <v>873599.30850989057</v>
      </c>
      <c r="L12" s="33">
        <v>901557.01944834448</v>
      </c>
      <c r="M12" s="33">
        <f>M8*M28</f>
        <v>923333.09435339819</v>
      </c>
    </row>
    <row r="13" spans="1:16" ht="16">
      <c r="B13" s="57" t="s">
        <v>90</v>
      </c>
      <c r="C13" s="58">
        <f>C12/C8</f>
        <v>0.35323474928544601</v>
      </c>
      <c r="D13" s="58">
        <f t="shared" ref="D13:M13" si="3">D12/D8</f>
        <v>0.33515646333700705</v>
      </c>
      <c r="E13" s="58">
        <f t="shared" si="3"/>
        <v>0.19598408315330709</v>
      </c>
      <c r="F13" s="58">
        <f t="shared" si="3"/>
        <v>0.16680188393867282</v>
      </c>
      <c r="G13" s="58">
        <f t="shared" si="3"/>
        <v>0.14547044797959813</v>
      </c>
      <c r="H13" s="58">
        <f t="shared" si="3"/>
        <v>0.12475213888995182</v>
      </c>
      <c r="I13" s="59">
        <f t="shared" si="3"/>
        <v>0.14567482360274095</v>
      </c>
      <c r="J13" s="59">
        <f t="shared" si="3"/>
        <v>0.13863247015743027</v>
      </c>
      <c r="K13" s="59">
        <f t="shared" si="3"/>
        <v>0.14325924724658978</v>
      </c>
      <c r="L13" s="59">
        <f t="shared" si="3"/>
        <v>0.14252218033558697</v>
      </c>
      <c r="M13" s="59">
        <f t="shared" si="3"/>
        <v>0.14199999999999999</v>
      </c>
    </row>
    <row r="14" spans="1:16" ht="16">
      <c r="B14" s="51" t="s">
        <v>27</v>
      </c>
      <c r="C14" s="52">
        <v>93711</v>
      </c>
      <c r="D14" s="52">
        <v>-8056</v>
      </c>
      <c r="E14" s="52">
        <v>1173621</v>
      </c>
      <c r="F14" s="52">
        <v>1944705</v>
      </c>
      <c r="G14" s="52">
        <v>2452310</v>
      </c>
      <c r="H14" s="52">
        <v>2732722</v>
      </c>
      <c r="I14" s="53">
        <v>2923834.5787248006</v>
      </c>
      <c r="J14" s="53">
        <v>2992181.5735611906</v>
      </c>
      <c r="K14" s="53">
        <v>3049015.4223907739</v>
      </c>
      <c r="L14" s="53">
        <f>L27*L8</f>
        <v>3099608.3450975884</v>
      </c>
      <c r="M14" s="53">
        <f>M8*M27</f>
        <v>3121125.9527438814</v>
      </c>
    </row>
    <row r="15" spans="1:16" ht="16">
      <c r="B15" s="57" t="s">
        <v>91</v>
      </c>
      <c r="C15" s="58">
        <f>C14/C8</f>
        <v>4.5887660410452932E-2</v>
      </c>
      <c r="D15" s="58">
        <f t="shared" ref="D15:M15" si="4">D14/D8</f>
        <v>-3.7733498269064761E-3</v>
      </c>
      <c r="E15" s="58">
        <f t="shared" si="4"/>
        <v>0.32004429709047416</v>
      </c>
      <c r="F15" s="58">
        <f t="shared" si="4"/>
        <v>0.44331166893523177</v>
      </c>
      <c r="G15" s="58">
        <f t="shared" si="4"/>
        <v>0.48836194595998289</v>
      </c>
      <c r="H15" s="58">
        <f t="shared" si="4"/>
        <v>0.51008981144542953</v>
      </c>
      <c r="I15" s="59">
        <f t="shared" si="4"/>
        <v>0.52000000000000013</v>
      </c>
      <c r="J15" s="59">
        <f t="shared" si="4"/>
        <v>0.51</v>
      </c>
      <c r="K15" s="59">
        <f t="shared" si="4"/>
        <v>0.5</v>
      </c>
      <c r="L15" s="59">
        <f t="shared" si="4"/>
        <v>0.49000000000000005</v>
      </c>
      <c r="M15" s="59">
        <f t="shared" si="4"/>
        <v>0.48</v>
      </c>
    </row>
    <row r="16" spans="1:16" ht="16">
      <c r="B16" s="51" t="s">
        <v>28</v>
      </c>
      <c r="C16" s="52">
        <v>70283.25</v>
      </c>
      <c r="D16" s="52">
        <v>-6042</v>
      </c>
      <c r="E16" s="52">
        <v>880215.75</v>
      </c>
      <c r="F16" s="52">
        <v>1458528.75</v>
      </c>
      <c r="G16" s="52">
        <v>1839232.5</v>
      </c>
      <c r="H16" s="52">
        <v>2049541.5</v>
      </c>
      <c r="I16" s="53">
        <v>2192875.9340436002</v>
      </c>
      <c r="J16" s="53">
        <v>2244136.1801708927</v>
      </c>
      <c r="K16" s="53">
        <v>2286761.5667930804</v>
      </c>
      <c r="L16" s="53">
        <v>2324706.2588231913</v>
      </c>
      <c r="M16" s="53">
        <f>M14*(1-0.25)</f>
        <v>2340844.4645579113</v>
      </c>
    </row>
    <row r="17" spans="2:13" ht="16">
      <c r="B17" s="57" t="s">
        <v>92</v>
      </c>
      <c r="C17" s="61">
        <f>C16/C8</f>
        <v>3.4415745307839696E-2</v>
      </c>
      <c r="D17" s="61">
        <f t="shared" ref="D17:M17" si="5">D16/D8</f>
        <v>-2.8300123701798571E-3</v>
      </c>
      <c r="E17" s="61">
        <f t="shared" si="5"/>
        <v>0.24003322281785563</v>
      </c>
      <c r="F17" s="61">
        <f t="shared" si="5"/>
        <v>0.33248375170142386</v>
      </c>
      <c r="G17" s="61">
        <f t="shared" si="5"/>
        <v>0.36627145946998718</v>
      </c>
      <c r="H17" s="61">
        <f t="shared" si="5"/>
        <v>0.38256735858407209</v>
      </c>
      <c r="I17" s="62">
        <f t="shared" si="5"/>
        <v>0.39000000000000007</v>
      </c>
      <c r="J17" s="62">
        <f t="shared" si="5"/>
        <v>0.38249999999999995</v>
      </c>
      <c r="K17" s="62">
        <f t="shared" si="5"/>
        <v>0.375</v>
      </c>
      <c r="L17" s="62">
        <f t="shared" si="5"/>
        <v>0.36749999999999999</v>
      </c>
      <c r="M17" s="62">
        <f t="shared" si="5"/>
        <v>0.36</v>
      </c>
    </row>
    <row r="18" spans="2:13" ht="16">
      <c r="B18" s="51" t="s">
        <v>30</v>
      </c>
      <c r="C18" s="52">
        <v>489753</v>
      </c>
      <c r="D18" s="52">
        <v>652004</v>
      </c>
      <c r="E18" s="52">
        <v>555419</v>
      </c>
      <c r="F18" s="52">
        <v>552067</v>
      </c>
      <c r="G18" s="52">
        <v>742953</v>
      </c>
      <c r="H18" s="52">
        <v>690024</v>
      </c>
      <c r="I18" s="53">
        <v>753340.48625817301</v>
      </c>
      <c r="J18" s="53">
        <v>801971.26975479082</v>
      </c>
      <c r="K18" s="53">
        <v>829506.65099844593</v>
      </c>
      <c r="L18" s="53">
        <v>857559.45083789132</v>
      </c>
      <c r="M18" s="53">
        <f>M29*M8</f>
        <v>890821.36567898293</v>
      </c>
    </row>
    <row r="19" spans="2:13" ht="16">
      <c r="B19" s="57" t="s">
        <v>93</v>
      </c>
      <c r="C19" s="58">
        <f>C18/C8</f>
        <v>0.2398183708316052</v>
      </c>
      <c r="D19" s="58">
        <f t="shared" ref="D19:M19" si="6">D18/D8</f>
        <v>0.30539215250028923</v>
      </c>
      <c r="E19" s="58">
        <f t="shared" si="6"/>
        <v>0.15146174399205031</v>
      </c>
      <c r="F19" s="58">
        <f t="shared" si="6"/>
        <v>0.12584826137335309</v>
      </c>
      <c r="G19" s="58">
        <f t="shared" si="6"/>
        <v>0.14795436663260647</v>
      </c>
      <c r="H19" s="58">
        <f t="shared" si="6"/>
        <v>0.1287998603783411</v>
      </c>
      <c r="I19" s="59">
        <f t="shared" si="6"/>
        <v>0.13398058005904767</v>
      </c>
      <c r="J19" s="59">
        <f t="shared" si="6"/>
        <v>0.13669135295427923</v>
      </c>
      <c r="K19" s="59">
        <f t="shared" si="6"/>
        <v>0.13602860859720065</v>
      </c>
      <c r="L19" s="59">
        <f t="shared" si="6"/>
        <v>0.1355668472035092</v>
      </c>
      <c r="M19" s="59">
        <f t="shared" si="6"/>
        <v>0.13700000000000001</v>
      </c>
    </row>
    <row r="20" spans="2:13" ht="16">
      <c r="B20" s="51" t="s">
        <v>32</v>
      </c>
      <c r="C20" s="54" t="s">
        <v>33</v>
      </c>
      <c r="D20" s="52">
        <v>-228789</v>
      </c>
      <c r="E20" s="52">
        <v>-51213</v>
      </c>
      <c r="F20" s="52">
        <v>191167</v>
      </c>
      <c r="G20" s="52">
        <v>-126574</v>
      </c>
      <c r="H20" s="52">
        <v>59877</v>
      </c>
      <c r="I20" s="53">
        <v>68716.146779303148</v>
      </c>
      <c r="J20" s="53">
        <v>-25044.810701805633</v>
      </c>
      <c r="K20" s="53">
        <v>42177.240264970576</v>
      </c>
      <c r="L20" s="53">
        <v>17922.480409075855</v>
      </c>
      <c r="M20" s="53">
        <v>9962.700043230725</v>
      </c>
    </row>
    <row r="21" spans="2:13" ht="16">
      <c r="B21" s="56" t="s">
        <v>93</v>
      </c>
      <c r="C21" s="55"/>
      <c r="D21" s="60">
        <f>D20/D8</f>
        <v>-0.1071624793381462</v>
      </c>
      <c r="E21" s="60">
        <f t="shared" ref="E21:M21" si="7">E20/E8</f>
        <v>-1.3965691298037828E-2</v>
      </c>
      <c r="F21" s="60">
        <f t="shared" si="7"/>
        <v>4.3578106610175554E-2</v>
      </c>
      <c r="G21" s="60">
        <f t="shared" si="7"/>
        <v>-2.5206407406868983E-2</v>
      </c>
      <c r="H21" s="60">
        <f t="shared" si="7"/>
        <v>1.1176639131209828E-2</v>
      </c>
      <c r="I21" s="59">
        <f t="shared" si="7"/>
        <v>1.2221073170569708E-2</v>
      </c>
      <c r="J21" s="59">
        <f t="shared" si="7"/>
        <v>-4.268742769750789E-3</v>
      </c>
      <c r="K21" s="59">
        <f t="shared" si="7"/>
        <v>6.916534425381626E-3</v>
      </c>
      <c r="L21" s="59">
        <f t="shared" si="7"/>
        <v>2.8332661493627111E-3</v>
      </c>
      <c r="M21" s="59">
        <f t="shared" si="7"/>
        <v>1.5321701505018259E-3</v>
      </c>
    </row>
    <row r="22" spans="2:13" ht="16">
      <c r="B22" s="19" t="s">
        <v>3</v>
      </c>
      <c r="C22" s="23" t="s">
        <v>33</v>
      </c>
      <c r="D22" s="20">
        <v>286293</v>
      </c>
      <c r="E22" s="20">
        <v>1094694.75</v>
      </c>
      <c r="F22" s="20">
        <v>1447015.75</v>
      </c>
      <c r="G22" s="20">
        <v>1953333.5</v>
      </c>
      <c r="H22" s="20">
        <v>1967979.5</v>
      </c>
      <c r="I22" s="42">
        <v>2189913.6981202201</v>
      </c>
      <c r="J22" s="42">
        <v>2280569.5695538577</v>
      </c>
      <c r="K22" s="42">
        <v>2288676.9840395544</v>
      </c>
      <c r="L22" s="42">
        <v>2350781.3470245688</v>
      </c>
      <c r="M22" s="42">
        <f>M16+M12-M18-M20</f>
        <v>2363393.493189096</v>
      </c>
    </row>
    <row r="23" spans="2:1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</row>
    <row r="24" spans="2:13"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</row>
    <row r="25" spans="2:13" ht="16">
      <c r="B25" s="21"/>
      <c r="C25" s="43">
        <v>2020</v>
      </c>
      <c r="D25" s="43">
        <v>2021</v>
      </c>
      <c r="E25" s="43">
        <v>2022</v>
      </c>
      <c r="F25" s="43">
        <v>2023</v>
      </c>
      <c r="G25" s="43">
        <v>2024</v>
      </c>
      <c r="H25" s="43">
        <v>2025</v>
      </c>
      <c r="I25" s="44">
        <v>2026</v>
      </c>
      <c r="J25" s="44">
        <v>2027</v>
      </c>
      <c r="K25" s="44">
        <v>2028</v>
      </c>
      <c r="L25" s="44">
        <v>2029</v>
      </c>
      <c r="M25" s="44">
        <v>2030</v>
      </c>
    </row>
    <row r="26" spans="2:13" ht="16">
      <c r="B26" s="35" t="s">
        <v>34</v>
      </c>
      <c r="C26" s="35"/>
      <c r="D26" s="38"/>
      <c r="E26" s="38"/>
      <c r="F26" s="38"/>
      <c r="G26" s="38"/>
      <c r="H26" s="38"/>
      <c r="I26" s="37"/>
      <c r="J26" s="37"/>
      <c r="K26" s="37"/>
      <c r="L26" s="37"/>
      <c r="M26" s="37"/>
    </row>
    <row r="27" spans="2:13" ht="16">
      <c r="B27" t="s">
        <v>35</v>
      </c>
      <c r="C27" s="45">
        <v>4.5887660410452932E-2</v>
      </c>
      <c r="D27" s="45">
        <v>-3.7733498269064761E-3</v>
      </c>
      <c r="E27" s="45">
        <v>0.32004429709047416</v>
      </c>
      <c r="F27" s="45">
        <v>0.44331166893523177</v>
      </c>
      <c r="G27" s="45">
        <f>G14/G8</f>
        <v>0.48836194595998289</v>
      </c>
      <c r="H27" s="8">
        <f>H14/H8</f>
        <v>0.51008981144542953</v>
      </c>
      <c r="I27" s="34">
        <v>0.52</v>
      </c>
      <c r="J27" s="34">
        <v>0.51</v>
      </c>
      <c r="K27" s="34">
        <v>0.5</v>
      </c>
      <c r="L27" s="34">
        <v>0.49</v>
      </c>
      <c r="M27" s="34">
        <v>0.48</v>
      </c>
    </row>
    <row r="28" spans="2:13" ht="16">
      <c r="B28" t="s">
        <v>36</v>
      </c>
      <c r="C28" s="16">
        <v>0.35323474928544601</v>
      </c>
      <c r="D28" s="16">
        <v>0.33515646333700705</v>
      </c>
      <c r="E28" s="16">
        <v>0.19598408315330709</v>
      </c>
      <c r="F28" s="16">
        <v>0.16680188393867282</v>
      </c>
      <c r="G28" s="16">
        <v>0.12475213888995182</v>
      </c>
      <c r="H28" s="16">
        <v>0.14547044797959813</v>
      </c>
      <c r="I28" s="34">
        <v>0.14567482360274092</v>
      </c>
      <c r="J28" s="34">
        <v>0.13863247015743027</v>
      </c>
      <c r="K28" s="34">
        <v>0.14325924724658978</v>
      </c>
      <c r="L28" s="34">
        <v>0.14252218033558697</v>
      </c>
      <c r="M28" s="34">
        <v>0.14199999999999999</v>
      </c>
    </row>
    <row r="29" spans="2:13" ht="16">
      <c r="B29" t="s">
        <v>37</v>
      </c>
      <c r="C29" s="16">
        <v>0.23981837083160498</v>
      </c>
      <c r="D29" s="16">
        <v>0.305392152500289</v>
      </c>
      <c r="E29" s="16">
        <v>0.15146174399205001</v>
      </c>
      <c r="F29" s="46">
        <v>0.125848261373353</v>
      </c>
      <c r="G29" s="46">
        <v>0.138679586025515</v>
      </c>
      <c r="H29" s="46">
        <v>0.13741389277827501</v>
      </c>
      <c r="I29" s="34">
        <v>0.13398058005904767</v>
      </c>
      <c r="J29" s="34">
        <v>0.13669135295427923</v>
      </c>
      <c r="K29" s="34">
        <v>0.13602860859720065</v>
      </c>
      <c r="L29" s="34">
        <v>0.1355668472035092</v>
      </c>
      <c r="M29" s="34">
        <v>0.13700000000000001</v>
      </c>
    </row>
    <row r="30" spans="2:13" ht="16">
      <c r="B30" t="s">
        <v>38</v>
      </c>
      <c r="C30" s="16">
        <v>0.27538178507998551</v>
      </c>
      <c r="D30" s="45">
        <v>0.15625068794781011</v>
      </c>
      <c r="E30" s="45">
        <v>7.7003963395179453E-2</v>
      </c>
      <c r="F30" s="45">
        <v>0.10794851880667471</v>
      </c>
      <c r="G30" s="45">
        <v>6.4765597073918282E-2</v>
      </c>
      <c r="H30" s="45">
        <v>8.1021192667292116E-2</v>
      </c>
      <c r="I30" s="34">
        <v>8.4578436182628378E-2</v>
      </c>
      <c r="J30" s="34">
        <v>7.6788408641279601E-2</v>
      </c>
      <c r="K30" s="34">
        <v>8.0796012497066694E-2</v>
      </c>
      <c r="L30" s="34">
        <v>8.0720952440324886E-2</v>
      </c>
      <c r="M30" s="34">
        <v>7.9435124526223741E-2</v>
      </c>
    </row>
    <row r="31" spans="2:13" ht="16">
      <c r="B31" t="s">
        <v>39</v>
      </c>
      <c r="C31" s="7">
        <v>0.25</v>
      </c>
      <c r="D31" s="7">
        <v>0.25</v>
      </c>
      <c r="E31" s="7">
        <v>0.25</v>
      </c>
      <c r="F31" s="7">
        <v>0.25</v>
      </c>
      <c r="G31" s="7">
        <v>0.25</v>
      </c>
      <c r="H31" s="7">
        <v>0.25</v>
      </c>
      <c r="I31" s="34">
        <v>0.25</v>
      </c>
      <c r="J31" s="34">
        <v>0.25</v>
      </c>
      <c r="K31" s="34">
        <v>0.25</v>
      </c>
      <c r="L31" s="34">
        <v>0.25</v>
      </c>
      <c r="M31" s="34">
        <v>0.25</v>
      </c>
    </row>
    <row r="32" spans="2:13" ht="16">
      <c r="B32" t="s">
        <v>40</v>
      </c>
      <c r="C32" s="9">
        <v>76065601</v>
      </c>
      <c r="D32" s="22">
        <v>119952578</v>
      </c>
      <c r="E32" s="22">
        <v>243693689</v>
      </c>
      <c r="F32" s="22">
        <v>283201865</v>
      </c>
      <c r="G32" s="22">
        <v>309371619</v>
      </c>
      <c r="H32" s="22">
        <v>321587316</v>
      </c>
      <c r="I32" s="33">
        <v>337520037.983904</v>
      </c>
      <c r="J32" s="33">
        <v>352182583.47400075</v>
      </c>
      <c r="K32" s="33">
        <v>366049420.51570606</v>
      </c>
      <c r="L32" s="33">
        <v>379717705.8777625</v>
      </c>
      <c r="M32" s="33">
        <v>393896365.01523811</v>
      </c>
    </row>
    <row r="33" spans="2:13" ht="16">
      <c r="B33" t="s">
        <v>41</v>
      </c>
      <c r="C33" s="24" t="s">
        <v>33</v>
      </c>
      <c r="D33" s="11">
        <v>4.5436672423578184E-2</v>
      </c>
      <c r="E33" s="11">
        <v>0.71761329065988178</v>
      </c>
      <c r="F33" s="11">
        <v>0.19626332607774399</v>
      </c>
      <c r="G33" s="11">
        <v>0.22124904286003799</v>
      </c>
      <c r="H33" s="11">
        <v>-6.2686764968029829E-2</v>
      </c>
      <c r="I33" s="47">
        <v>4.9544000000000032E-2</v>
      </c>
      <c r="J33" s="47">
        <v>4.3441999999999981E-2</v>
      </c>
      <c r="K33" s="47">
        <v>3.937400000000002E-2</v>
      </c>
      <c r="L33" s="47">
        <v>3.7339999999999929E-2</v>
      </c>
      <c r="M33" s="47">
        <v>3.7339999999999929E-2</v>
      </c>
    </row>
    <row r="34" spans="2:13" ht="16">
      <c r="B34" t="s">
        <v>42</v>
      </c>
      <c r="C34" s="24" t="s">
        <v>33</v>
      </c>
      <c r="D34" s="11">
        <v>0.57696220660900321</v>
      </c>
      <c r="E34" s="11">
        <v>1.0315835896415666</v>
      </c>
      <c r="F34" s="11">
        <v>0.16212227802091328</v>
      </c>
      <c r="G34" s="11">
        <v>9.2406714906344334E-2</v>
      </c>
      <c r="H34" s="11">
        <v>3.9485512728948846E-2</v>
      </c>
      <c r="I34" s="47">
        <v>3.2000000000000001E-2</v>
      </c>
      <c r="J34" s="47">
        <v>2.5999999999999999E-2</v>
      </c>
      <c r="K34" s="47">
        <v>2.1999999999999999E-2</v>
      </c>
      <c r="L34" s="47">
        <v>0.02</v>
      </c>
      <c r="M34" s="47">
        <v>0.02</v>
      </c>
    </row>
    <row r="35" spans="2:13" ht="16">
      <c r="B35" t="s">
        <v>43</v>
      </c>
      <c r="C35" s="24" t="s">
        <v>33</v>
      </c>
      <c r="D35" s="11">
        <v>1.779847532747483E-2</v>
      </c>
      <c r="E35" s="11">
        <v>1.5047816851752776E-2</v>
      </c>
      <c r="F35" s="11">
        <v>1.5489894460970446E-2</v>
      </c>
      <c r="G35" s="11">
        <v>1.731682763052677E-2</v>
      </c>
      <c r="H35" s="11">
        <v>1.5614735874719636E-2</v>
      </c>
      <c r="I35" s="47">
        <v>1.7000000000000001E-2</v>
      </c>
      <c r="J35" s="47">
        <v>1.7000000000000001E-2</v>
      </c>
      <c r="K35" s="47">
        <v>1.7000000000000001E-2</v>
      </c>
      <c r="L35" s="47">
        <v>1.7000000000000001E-2</v>
      </c>
      <c r="M35" s="47">
        <v>1.7000000000000001E-2</v>
      </c>
    </row>
    <row r="36" spans="2:13" ht="16">
      <c r="B36" t="s">
        <v>44</v>
      </c>
      <c r="C36" s="24" t="s">
        <v>33</v>
      </c>
      <c r="D36" s="11">
        <v>0.60502972953569389</v>
      </c>
      <c r="E36" s="11">
        <v>1.0621544874175193</v>
      </c>
      <c r="F36" s="11">
        <v>0.18012342945819992</v>
      </c>
      <c r="G36" s="11">
        <v>0.11132373369080728</v>
      </c>
      <c r="H36" s="11">
        <v>5.5716804455808955E-2</v>
      </c>
      <c r="I36" s="47">
        <v>4.9544000000000032E-2</v>
      </c>
      <c r="J36" s="47">
        <v>4.3441999999999981E-2</v>
      </c>
      <c r="K36" s="47">
        <v>3.937400000000002E-2</v>
      </c>
      <c r="L36" s="47">
        <v>3.7339999999999929E-2</v>
      </c>
      <c r="M36" s="47">
        <v>3.7339999999999929E-2</v>
      </c>
    </row>
  </sheetData>
  <mergeCells count="2">
    <mergeCell ref="I5:M5"/>
    <mergeCell ref="I37:M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8436-3E5F-3E44-8439-E7F03F68457F}">
  <dimension ref="A1:Q18"/>
  <sheetViews>
    <sheetView showGridLines="0" topLeftCell="A2" zoomScale="125" workbookViewId="0">
      <selection activeCell="E9" sqref="E9"/>
    </sheetView>
  </sheetViews>
  <sheetFormatPr baseColWidth="10" defaultRowHeight="15"/>
  <cols>
    <col min="3" max="3" width="23.6640625" bestFit="1" customWidth="1"/>
    <col min="5" max="5" width="17.33203125" bestFit="1" customWidth="1"/>
    <col min="6" max="6" width="15.6640625" bestFit="1" customWidth="1"/>
    <col min="7" max="7" width="16.5" bestFit="1" customWidth="1"/>
    <col min="8" max="8" width="18.83203125" bestFit="1" customWidth="1"/>
    <col min="9" max="10" width="15.6640625" bestFit="1" customWidth="1"/>
    <col min="11" max="12" width="14.6640625" bestFit="1" customWidth="1"/>
    <col min="13" max="13" width="8.5" bestFit="1" customWidth="1"/>
    <col min="14" max="14" width="10.5" customWidth="1"/>
    <col min="15" max="15" width="11" customWidth="1"/>
    <col min="16" max="16" width="8.5" customWidth="1"/>
    <col min="17" max="17" width="15.1640625" bestFit="1" customWidth="1"/>
  </cols>
  <sheetData>
    <row r="1" spans="1:17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7" ht="24">
      <c r="A2" s="4" t="s">
        <v>80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7" ht="16">
      <c r="A3" s="40" t="s">
        <v>112</v>
      </c>
      <c r="B3" s="40"/>
      <c r="C3" s="40"/>
      <c r="D3" s="40"/>
      <c r="E3" s="40"/>
      <c r="F3" s="1"/>
      <c r="G3" s="1"/>
      <c r="H3" s="1"/>
      <c r="I3" s="1"/>
      <c r="J3" s="1"/>
      <c r="K3" s="1"/>
      <c r="L3" s="40"/>
      <c r="M3" s="1"/>
      <c r="N3" s="39"/>
      <c r="O3" s="1"/>
      <c r="P3" s="39"/>
    </row>
    <row r="4" spans="1:17"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</row>
    <row r="5" spans="1:17"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</row>
    <row r="6" spans="1:17" ht="16">
      <c r="C6" s="35">
        <v>2025</v>
      </c>
      <c r="D6" s="76" t="s">
        <v>60</v>
      </c>
      <c r="E6" s="77"/>
      <c r="F6" s="77"/>
      <c r="G6" s="76" t="s">
        <v>61</v>
      </c>
      <c r="H6" s="77"/>
      <c r="I6" s="77"/>
      <c r="J6" s="77"/>
      <c r="K6" s="77"/>
      <c r="L6" s="77"/>
      <c r="M6" s="76" t="s">
        <v>62</v>
      </c>
      <c r="N6" s="77"/>
      <c r="O6" s="77"/>
      <c r="P6" s="77"/>
    </row>
    <row r="7" spans="1:17" ht="16">
      <c r="C7" s="63" t="s">
        <v>95</v>
      </c>
      <c r="D7" s="63" t="s">
        <v>63</v>
      </c>
      <c r="E7" s="63" t="s">
        <v>64</v>
      </c>
      <c r="F7" s="63" t="s">
        <v>65</v>
      </c>
      <c r="G7" s="63" t="s">
        <v>66</v>
      </c>
      <c r="H7" s="63" t="s">
        <v>67</v>
      </c>
      <c r="I7" s="63" t="s">
        <v>68</v>
      </c>
      <c r="J7" s="63" t="s">
        <v>27</v>
      </c>
      <c r="K7" s="63" t="s">
        <v>69</v>
      </c>
      <c r="L7" s="63" t="s">
        <v>70</v>
      </c>
      <c r="M7" s="63" t="s">
        <v>71</v>
      </c>
      <c r="N7" s="63" t="s">
        <v>72</v>
      </c>
      <c r="O7" s="63" t="s">
        <v>73</v>
      </c>
      <c r="P7" s="63" t="s">
        <v>74</v>
      </c>
    </row>
    <row r="8" spans="1:17" ht="16">
      <c r="C8" s="35" t="s">
        <v>75</v>
      </c>
      <c r="D8" s="74" t="s">
        <v>76</v>
      </c>
      <c r="E8" s="74" t="s">
        <v>76</v>
      </c>
      <c r="F8" s="74"/>
      <c r="G8" s="74"/>
      <c r="H8" s="74"/>
      <c r="I8" s="74"/>
      <c r="J8" s="74"/>
      <c r="K8" s="74"/>
      <c r="L8" s="74"/>
      <c r="M8" s="74" t="s">
        <v>77</v>
      </c>
      <c r="N8" s="74" t="s">
        <v>77</v>
      </c>
      <c r="O8" s="74" t="s">
        <v>77</v>
      </c>
      <c r="P8" s="74" t="s">
        <v>77</v>
      </c>
    </row>
    <row r="9" spans="1:17">
      <c r="C9" s="64" t="s">
        <v>0</v>
      </c>
      <c r="D9" s="65">
        <v>23.82</v>
      </c>
      <c r="E9" s="65">
        <v>1499074627</v>
      </c>
      <c r="F9" s="65">
        <f t="shared" ref="F9:F14" si="0">D9*E9</f>
        <v>35707957615.139999</v>
      </c>
      <c r="G9" s="66">
        <v>4231575000</v>
      </c>
      <c r="H9" s="66">
        <f>F9+G9</f>
        <v>39939532615.139999</v>
      </c>
      <c r="I9" s="66">
        <v>5357335000</v>
      </c>
      <c r="J9" s="66">
        <v>2732722000</v>
      </c>
      <c r="K9" s="65">
        <v>3401061000</v>
      </c>
      <c r="L9" s="65">
        <v>2028489000</v>
      </c>
      <c r="M9" s="67">
        <f>H9/(I9)</f>
        <v>7.455112031474604</v>
      </c>
      <c r="N9" s="67">
        <f t="shared" ref="N9:N14" si="1">H9/(J9)</f>
        <v>14.615292962526009</v>
      </c>
      <c r="O9" s="67">
        <f t="shared" ref="O9:O14" si="2">H9/(K9)</f>
        <v>11.74325677050191</v>
      </c>
      <c r="P9" s="67">
        <f t="shared" ref="P9:P14" si="3">F9/(L9)</f>
        <v>17.603229603483182</v>
      </c>
    </row>
    <row r="10" spans="1:17">
      <c r="C10" s="51" t="s">
        <v>82</v>
      </c>
      <c r="D10" s="68">
        <v>111.4</v>
      </c>
      <c r="E10" s="68">
        <v>99130435</v>
      </c>
      <c r="F10" s="68">
        <f t="shared" si="0"/>
        <v>11043130459</v>
      </c>
      <c r="G10" s="68">
        <v>8950000000</v>
      </c>
      <c r="H10" s="68">
        <f>F10+G10</f>
        <v>19993130459</v>
      </c>
      <c r="I10" s="68">
        <v>6704000000</v>
      </c>
      <c r="J10" s="68">
        <f>K10-1116000000</f>
        <v>1206000000</v>
      </c>
      <c r="K10" s="68">
        <v>2322000000</v>
      </c>
      <c r="L10" s="68">
        <v>382000000</v>
      </c>
      <c r="M10" s="69">
        <f t="shared" ref="M10:M12" si="4">H10/(I10)</f>
        <v>2.9822688632159906</v>
      </c>
      <c r="N10" s="69">
        <f t="shared" si="1"/>
        <v>16.578051790215589</v>
      </c>
      <c r="O10" s="69">
        <f t="shared" si="2"/>
        <v>8.610305968561585</v>
      </c>
      <c r="P10" s="69">
        <f t="shared" si="3"/>
        <v>28.90871847905759</v>
      </c>
    </row>
    <row r="11" spans="1:17">
      <c r="C11" s="70" t="s">
        <v>81</v>
      </c>
      <c r="D11" s="68">
        <v>279.31</v>
      </c>
      <c r="E11" s="68">
        <v>30701875</v>
      </c>
      <c r="F11" s="68">
        <f t="shared" si="0"/>
        <v>8575340706.25</v>
      </c>
      <c r="G11" s="68">
        <v>1245621389</v>
      </c>
      <c r="H11" s="68">
        <f>G11+F11</f>
        <v>9820962095.25</v>
      </c>
      <c r="I11" s="68">
        <v>1470909349.8</v>
      </c>
      <c r="J11" s="68">
        <v>487288731</v>
      </c>
      <c r="K11" s="68">
        <v>825631350</v>
      </c>
      <c r="L11" s="68">
        <v>372586926</v>
      </c>
      <c r="M11" s="69">
        <f t="shared" si="4"/>
        <v>6.6767962937929246</v>
      </c>
      <c r="N11" s="69">
        <f t="shared" si="1"/>
        <v>20.154297586762784</v>
      </c>
      <c r="O11" s="69">
        <f t="shared" si="2"/>
        <v>11.895093488455835</v>
      </c>
      <c r="P11" s="69">
        <f t="shared" si="3"/>
        <v>23.015677974299077</v>
      </c>
      <c r="Q11" t="s">
        <v>87</v>
      </c>
    </row>
    <row r="12" spans="1:17">
      <c r="C12" s="51" t="s">
        <v>83</v>
      </c>
      <c r="D12" s="68">
        <v>69.599999999999994</v>
      </c>
      <c r="E12" s="68">
        <v>92347561</v>
      </c>
      <c r="F12" s="68">
        <f t="shared" si="0"/>
        <v>6427390245.5999994</v>
      </c>
      <c r="G12" s="52">
        <v>579074000</v>
      </c>
      <c r="H12" s="68">
        <f>G12+F12</f>
        <v>7006464245.5999994</v>
      </c>
      <c r="I12" s="68">
        <v>1913003000</v>
      </c>
      <c r="J12" s="68">
        <v>476734000</v>
      </c>
      <c r="K12" s="68">
        <v>867422000</v>
      </c>
      <c r="L12" s="68">
        <v>180856000</v>
      </c>
      <c r="M12" s="69">
        <f t="shared" si="4"/>
        <v>3.6625474427379356</v>
      </c>
      <c r="N12" s="69">
        <f t="shared" si="1"/>
        <v>14.696799988253407</v>
      </c>
      <c r="O12" s="69">
        <f t="shared" si="2"/>
        <v>8.0773421075324343</v>
      </c>
      <c r="P12" s="69">
        <f t="shared" si="3"/>
        <v>35.538717242447028</v>
      </c>
      <c r="Q12" t="s">
        <v>86</v>
      </c>
    </row>
    <row r="13" spans="1:17">
      <c r="C13" s="51" t="s">
        <v>84</v>
      </c>
      <c r="D13" s="68">
        <v>918.16</v>
      </c>
      <c r="E13" s="68">
        <v>7772727</v>
      </c>
      <c r="F13" s="68">
        <f t="shared" si="0"/>
        <v>7136607022.3199997</v>
      </c>
      <c r="G13" s="52">
        <v>1182975138</v>
      </c>
      <c r="H13" s="68">
        <f>G13+F13</f>
        <v>8319582160.3199997</v>
      </c>
      <c r="I13" s="68">
        <v>1746487848</v>
      </c>
      <c r="J13" s="68">
        <v>575559300</v>
      </c>
      <c r="K13" s="68">
        <v>892250766</v>
      </c>
      <c r="L13" s="68">
        <v>418284375</v>
      </c>
      <c r="M13" s="69">
        <f>H13/(I13)</f>
        <v>4.763607241726425</v>
      </c>
      <c r="N13" s="69">
        <f t="shared" si="1"/>
        <v>14.454778439545672</v>
      </c>
      <c r="O13" s="69">
        <f t="shared" si="2"/>
        <v>9.3242645199589553</v>
      </c>
      <c r="P13" s="69">
        <f t="shared" si="3"/>
        <v>17.061615132814847</v>
      </c>
      <c r="Q13" t="s">
        <v>86</v>
      </c>
    </row>
    <row r="14" spans="1:17">
      <c r="C14" s="51" t="s">
        <v>85</v>
      </c>
      <c r="D14" s="68">
        <v>22.49</v>
      </c>
      <c r="E14" s="68">
        <v>163120000</v>
      </c>
      <c r="F14" s="68">
        <f t="shared" si="0"/>
        <v>3668568799.9999995</v>
      </c>
      <c r="G14" s="68">
        <v>616638906</v>
      </c>
      <c r="H14" s="68">
        <v>3679110966</v>
      </c>
      <c r="I14" s="52">
        <v>1608027543</v>
      </c>
      <c r="J14" s="68">
        <v>401299861</v>
      </c>
      <c r="K14" s="68">
        <v>601026839</v>
      </c>
      <c r="L14" s="68">
        <v>160747463</v>
      </c>
      <c r="M14" s="69">
        <f>H14/(I14)</f>
        <v>2.2879651421493095</v>
      </c>
      <c r="N14" s="69">
        <f t="shared" si="1"/>
        <v>9.1679846507596974</v>
      </c>
      <c r="O14" s="69">
        <f t="shared" si="2"/>
        <v>6.1213754981747162</v>
      </c>
      <c r="P14" s="69">
        <f t="shared" si="3"/>
        <v>22.821939031162188</v>
      </c>
      <c r="Q14" t="s">
        <v>86</v>
      </c>
    </row>
    <row r="15" spans="1:17">
      <c r="C15" s="72" t="s">
        <v>78</v>
      </c>
      <c r="D15" s="73">
        <f t="shared" ref="D15:L15" si="5">SUM(D9:D14)/6</f>
        <v>237.46333333333334</v>
      </c>
      <c r="E15" s="73">
        <f t="shared" si="5"/>
        <v>315357870.83333331</v>
      </c>
      <c r="F15" s="73">
        <f t="shared" si="5"/>
        <v>12093165808.051666</v>
      </c>
      <c r="G15" s="73">
        <f t="shared" si="5"/>
        <v>2800980738.8333335</v>
      </c>
      <c r="H15" s="73">
        <f t="shared" si="5"/>
        <v>14793130423.551666</v>
      </c>
      <c r="I15" s="73">
        <f>SUM(I9:I13)/6</f>
        <v>2865289199.6333332</v>
      </c>
      <c r="J15" s="73">
        <f t="shared" si="5"/>
        <v>979933982</v>
      </c>
      <c r="K15" s="73">
        <f t="shared" si="5"/>
        <v>1484898659.1666667</v>
      </c>
      <c r="L15" s="73">
        <f t="shared" si="5"/>
        <v>590493960.66666663</v>
      </c>
      <c r="M15" s="73">
        <f t="shared" ref="M15:P15" si="6">SUM(M9:M14)/6</f>
        <v>4.638049502516199</v>
      </c>
      <c r="N15" s="73">
        <f t="shared" si="6"/>
        <v>14.944534236343861</v>
      </c>
      <c r="O15" s="73">
        <f t="shared" si="6"/>
        <v>9.2952730588642396</v>
      </c>
      <c r="P15" s="73">
        <f t="shared" si="6"/>
        <v>24.158316243877319</v>
      </c>
    </row>
    <row r="16" spans="1:17">
      <c r="C16" s="71" t="s">
        <v>79</v>
      </c>
      <c r="D16" s="68">
        <f t="shared" ref="D16:P16" si="7">MEDIAN(D9:D14)</f>
        <v>90.5</v>
      </c>
      <c r="E16" s="68">
        <f t="shared" si="7"/>
        <v>95738998</v>
      </c>
      <c r="F16" s="68">
        <f t="shared" si="7"/>
        <v>7855973864.2849998</v>
      </c>
      <c r="G16" s="68">
        <f t="shared" si="7"/>
        <v>1214298263.5</v>
      </c>
      <c r="H16" s="68">
        <f t="shared" si="7"/>
        <v>9070272127.7849998</v>
      </c>
      <c r="I16" s="68">
        <f>MEDIAN(I9:I13)</f>
        <v>1913003000</v>
      </c>
      <c r="J16" s="68">
        <f t="shared" si="7"/>
        <v>531424015.5</v>
      </c>
      <c r="K16" s="68">
        <f t="shared" si="7"/>
        <v>879836383</v>
      </c>
      <c r="L16" s="68">
        <f t="shared" si="7"/>
        <v>377293463</v>
      </c>
      <c r="M16" s="68">
        <f t="shared" si="7"/>
        <v>4.2130773422321806</v>
      </c>
      <c r="N16" s="68">
        <f t="shared" si="7"/>
        <v>14.656046475389708</v>
      </c>
      <c r="O16" s="68">
        <f t="shared" si="7"/>
        <v>8.9672852442602711</v>
      </c>
      <c r="P16" s="68">
        <f t="shared" si="7"/>
        <v>22.918808502730634</v>
      </c>
    </row>
    <row r="17" spans="3:16"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</row>
    <row r="18" spans="3:16"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</row>
  </sheetData>
  <mergeCells count="3">
    <mergeCell ref="D6:F6"/>
    <mergeCell ref="G6:L6"/>
    <mergeCell ref="M6:P6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3DC3-EE28-2B47-B12E-8799F24AA22E}">
  <dimension ref="A1:N18"/>
  <sheetViews>
    <sheetView showGridLines="0" topLeftCell="A2" zoomScale="150" workbookViewId="0">
      <selection activeCell="A4" sqref="A4"/>
    </sheetView>
  </sheetViews>
  <sheetFormatPr baseColWidth="10" defaultRowHeight="15"/>
  <cols>
    <col min="3" max="3" width="24.33203125" bestFit="1" customWidth="1"/>
    <col min="4" max="4" width="16" bestFit="1" customWidth="1"/>
  </cols>
  <sheetData>
    <row r="1" spans="1:14" ht="26">
      <c r="A1" s="6" t="s">
        <v>0</v>
      </c>
      <c r="B1" s="17"/>
      <c r="C1" s="17"/>
      <c r="D1" s="17"/>
      <c r="E1" s="17"/>
      <c r="F1" s="18"/>
      <c r="G1" s="18"/>
      <c r="H1" s="18"/>
      <c r="I1" s="18"/>
      <c r="J1" s="17"/>
      <c r="K1" s="1"/>
      <c r="L1" s="1"/>
      <c r="M1" s="1"/>
      <c r="N1" s="1"/>
    </row>
    <row r="2" spans="1:14" ht="23" customHeight="1">
      <c r="A2" s="4" t="s">
        <v>11</v>
      </c>
      <c r="B2" s="17"/>
      <c r="C2" s="17"/>
      <c r="D2" s="17"/>
      <c r="E2" s="17"/>
      <c r="F2" s="18"/>
      <c r="G2" s="18"/>
      <c r="H2" s="18"/>
      <c r="I2" s="18"/>
      <c r="J2" s="17"/>
      <c r="K2" s="1"/>
      <c r="L2" s="1"/>
      <c r="M2" s="1"/>
      <c r="N2" s="1"/>
    </row>
    <row r="3" spans="1:14" ht="16">
      <c r="A3" s="40" t="s">
        <v>112</v>
      </c>
      <c r="B3" s="17"/>
      <c r="C3" s="17"/>
      <c r="D3" s="17"/>
      <c r="E3" s="17"/>
      <c r="F3" s="18"/>
      <c r="G3" s="18"/>
      <c r="H3" s="18"/>
      <c r="I3" s="18"/>
      <c r="J3" s="17"/>
      <c r="K3" s="1"/>
      <c r="L3" s="1"/>
      <c r="M3" s="1"/>
      <c r="N3" s="39"/>
    </row>
    <row r="6" spans="1:14" ht="16">
      <c r="C6" s="41" t="s">
        <v>12</v>
      </c>
      <c r="D6" s="37">
        <v>2025</v>
      </c>
    </row>
    <row r="7" spans="1:14" ht="16">
      <c r="C7" s="10" t="s">
        <v>13</v>
      </c>
      <c r="D7" s="8">
        <v>2.8642999999999998E-2</v>
      </c>
    </row>
    <row r="8" spans="1:14" ht="16">
      <c r="C8" s="10" t="s">
        <v>14</v>
      </c>
      <c r="D8">
        <v>0.89</v>
      </c>
    </row>
    <row r="9" spans="1:14" ht="16">
      <c r="C9" s="10" t="s">
        <v>15</v>
      </c>
      <c r="D9" s="8">
        <v>5.7799999999999997E-2</v>
      </c>
    </row>
    <row r="10" spans="1:14" ht="16">
      <c r="C10" s="10" t="s">
        <v>16</v>
      </c>
      <c r="D10" s="11">
        <f>D7+D8*D9</f>
        <v>8.0085000000000003E-2</v>
      </c>
    </row>
    <row r="11" spans="1:14" ht="16">
      <c r="C11" s="10" t="s">
        <v>17</v>
      </c>
      <c r="D11" s="12">
        <f>155737000/3899375000</f>
        <v>3.9938964577656673E-2</v>
      </c>
    </row>
    <row r="12" spans="1:14" ht="16">
      <c r="C12" s="10" t="s">
        <v>18</v>
      </c>
      <c r="D12" s="11">
        <v>0.25</v>
      </c>
    </row>
    <row r="13" spans="1:14" ht="16">
      <c r="C13" s="10" t="s">
        <v>19</v>
      </c>
      <c r="D13" s="13">
        <v>9.7194915000000007E-2</v>
      </c>
    </row>
    <row r="14" spans="1:14" ht="16">
      <c r="C14" s="10" t="s">
        <v>20</v>
      </c>
      <c r="D14" s="14">
        <f>1-D13</f>
        <v>0.90280508500000001</v>
      </c>
    </row>
    <row r="15" spans="1:14" ht="16">
      <c r="C15" s="10" t="s">
        <v>21</v>
      </c>
      <c r="D15" s="14">
        <f>D14*D10+D13*D11*(1-D12)</f>
        <v>7.5212543432710013E-2</v>
      </c>
    </row>
    <row r="16" spans="1:14" ht="16">
      <c r="C16" s="15" t="s">
        <v>22</v>
      </c>
      <c r="D16" s="11">
        <v>1.7500000000000002E-2</v>
      </c>
    </row>
    <row r="17" spans="3:4" ht="16">
      <c r="C17" s="15" t="s">
        <v>23</v>
      </c>
      <c r="D17" s="9">
        <v>3844276000</v>
      </c>
    </row>
    <row r="18" spans="3:4" ht="16">
      <c r="C18" s="15" t="s">
        <v>24</v>
      </c>
      <c r="D18" s="88">
        <v>1499074627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6F5-090A-4E4A-AC50-947640F4A685}">
  <dimension ref="A1:O58"/>
  <sheetViews>
    <sheetView showGridLines="0" tabSelected="1" workbookViewId="0">
      <selection activeCell="I18" sqref="I18"/>
    </sheetView>
  </sheetViews>
  <sheetFormatPr baseColWidth="10" defaultRowHeight="15"/>
  <cols>
    <col min="3" max="3" width="20" bestFit="1" customWidth="1"/>
    <col min="4" max="4" width="23.33203125" bestFit="1" customWidth="1"/>
    <col min="5" max="8" width="16.6640625" bestFit="1" customWidth="1"/>
    <col min="9" max="9" width="17.6640625" bestFit="1" customWidth="1"/>
    <col min="10" max="10" width="16.6640625" bestFit="1" customWidth="1"/>
  </cols>
  <sheetData>
    <row r="1" spans="1:15" ht="26">
      <c r="A1" s="6" t="s">
        <v>0</v>
      </c>
      <c r="B1" s="5"/>
      <c r="C1" s="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4">
      <c r="A2" s="4" t="s">
        <v>11</v>
      </c>
      <c r="B2" s="5"/>
      <c r="C2" s="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">
      <c r="A3" s="40" t="s">
        <v>112</v>
      </c>
      <c r="B3" s="40"/>
      <c r="C3" s="40"/>
      <c r="D3" s="40"/>
      <c r="E3" s="40"/>
      <c r="F3" s="1"/>
      <c r="G3" s="1"/>
      <c r="H3" s="1"/>
      <c r="I3" s="1"/>
      <c r="J3" s="1"/>
      <c r="K3" s="1"/>
      <c r="L3" s="1"/>
      <c r="M3" s="1"/>
      <c r="N3" s="39"/>
      <c r="O3" s="39"/>
    </row>
    <row r="7" spans="1:15" ht="16">
      <c r="E7" s="84" t="s">
        <v>49</v>
      </c>
      <c r="F7" s="84"/>
      <c r="G7" s="84"/>
      <c r="H7" s="84"/>
      <c r="I7" s="84"/>
      <c r="J7" s="85"/>
    </row>
    <row r="8" spans="1:15" ht="16">
      <c r="D8" s="44">
        <v>2025</v>
      </c>
      <c r="E8" s="75">
        <v>2026</v>
      </c>
      <c r="F8" s="75">
        <v>2027</v>
      </c>
      <c r="G8" s="75">
        <v>2028</v>
      </c>
      <c r="H8" s="75">
        <v>2029</v>
      </c>
      <c r="I8" s="75">
        <v>2030</v>
      </c>
      <c r="J8" s="75">
        <v>2031</v>
      </c>
    </row>
    <row r="9" spans="1:15" ht="16">
      <c r="C9" s="41" t="s">
        <v>2</v>
      </c>
      <c r="D9" s="35"/>
      <c r="E9" s="35"/>
      <c r="F9" s="35"/>
      <c r="G9" s="35"/>
      <c r="H9" s="35"/>
      <c r="I9" s="35"/>
      <c r="J9" s="35"/>
    </row>
    <row r="10" spans="1:15">
      <c r="C10" t="s">
        <v>3</v>
      </c>
      <c r="D10" s="9">
        <v>1967979500</v>
      </c>
      <c r="E10" s="85">
        <v>2189913698.1202202</v>
      </c>
      <c r="F10" s="85">
        <v>2280569569.5538578</v>
      </c>
      <c r="G10" s="85">
        <v>2288676984.0395546</v>
      </c>
      <c r="H10" s="85">
        <v>2350781347.024569</v>
      </c>
      <c r="I10" s="85">
        <v>2363393493.189096</v>
      </c>
      <c r="J10" s="85">
        <v>2404752879.3199053</v>
      </c>
    </row>
    <row r="11" spans="1:15">
      <c r="D11" s="14"/>
      <c r="E11" s="86"/>
      <c r="F11" s="86"/>
      <c r="G11" s="86"/>
      <c r="H11" s="86"/>
      <c r="I11" s="86"/>
      <c r="J11" s="86"/>
    </row>
    <row r="12" spans="1:15">
      <c r="C12" t="s">
        <v>21</v>
      </c>
      <c r="D12" s="14">
        <v>7.5212543432710013E-2</v>
      </c>
      <c r="E12" s="86">
        <v>7.5212543432710013E-2</v>
      </c>
      <c r="F12" s="86">
        <v>7.5212543432710013E-2</v>
      </c>
      <c r="G12" s="86">
        <v>7.5212543432710013E-2</v>
      </c>
      <c r="H12" s="86">
        <v>7.5212543432710013E-2</v>
      </c>
      <c r="I12" s="86">
        <v>7.5212543432710013E-2</v>
      </c>
      <c r="J12" s="86">
        <v>7.5212543432710013E-2</v>
      </c>
    </row>
    <row r="13" spans="1:15">
      <c r="C13" t="s">
        <v>103</v>
      </c>
      <c r="D13" s="11">
        <v>1.7500000000000002E-2</v>
      </c>
      <c r="E13" s="87">
        <v>1.7500000000000002E-2</v>
      </c>
      <c r="F13" s="87">
        <v>1.7500000000000002E-2</v>
      </c>
      <c r="G13" s="87">
        <v>1.7500000000000002E-2</v>
      </c>
      <c r="H13" s="87">
        <v>1.7500000000000002E-2</v>
      </c>
      <c r="I13" s="87">
        <v>1.7500000000000002E-2</v>
      </c>
      <c r="J13" s="87">
        <v>1.7500000000000002E-2</v>
      </c>
    </row>
    <row r="14" spans="1:15">
      <c r="C14" t="s">
        <v>4</v>
      </c>
      <c r="D14" s="9">
        <v>1</v>
      </c>
      <c r="E14" s="85">
        <f>1/(1+E12)</f>
        <v>0.93004867373236977</v>
      </c>
      <c r="F14" s="85">
        <f xml:space="preserve"> 1 /(1 + $E$12)^2</f>
        <v>0.86499053551133998</v>
      </c>
      <c r="G14" s="85">
        <f xml:space="preserve"> 1 /(1 + $E$12)^3</f>
        <v>0.80448330034337401</v>
      </c>
      <c r="H14" s="85">
        <f xml:space="preserve"> 1 /(1 + $E$12)^4</f>
        <v>0.74820862652419473</v>
      </c>
      <c r="I14" s="85">
        <f xml:space="preserve"> 1 /(1 + $E$12)^5</f>
        <v>0.69587044077394533</v>
      </c>
      <c r="J14" s="85"/>
    </row>
    <row r="15" spans="1:15">
      <c r="D15" s="9"/>
      <c r="E15" s="85"/>
      <c r="F15" s="85"/>
      <c r="G15" s="85"/>
      <c r="H15" s="85"/>
      <c r="I15" s="85"/>
      <c r="J15" s="86"/>
    </row>
    <row r="16" spans="1:15">
      <c r="C16" t="s">
        <v>5</v>
      </c>
      <c r="D16" s="9"/>
      <c r="E16" s="85">
        <f>E14*E10</f>
        <v>2036726330.5250599</v>
      </c>
      <c r="F16" s="85">
        <f t="shared" ref="F16:I16" si="0">F14*F10</f>
        <v>1972671093.2392576</v>
      </c>
      <c r="G16" s="85">
        <f>G14*G10</f>
        <v>1841202413.5400605</v>
      </c>
      <c r="H16" s="85">
        <f t="shared" si="0"/>
        <v>1758874882.9159491</v>
      </c>
      <c r="I16" s="85">
        <f t="shared" si="0"/>
        <v>1644615671.8277705</v>
      </c>
      <c r="J16" s="86"/>
    </row>
    <row r="17" spans="3:10" ht="16">
      <c r="D17" s="9"/>
      <c r="E17" s="85"/>
      <c r="F17" s="85"/>
      <c r="G17" s="85"/>
      <c r="H17" s="85"/>
      <c r="I17" s="94"/>
      <c r="J17" s="86"/>
    </row>
    <row r="18" spans="3:10">
      <c r="C18" s="92" t="s">
        <v>6</v>
      </c>
      <c r="D18" s="9"/>
      <c r="E18" s="85"/>
      <c r="F18" s="85"/>
      <c r="G18" s="85"/>
      <c r="H18" s="85"/>
      <c r="I18" s="85">
        <f>I10*(1+I13)/(I12-I13)</f>
        <v>41667768153.793617</v>
      </c>
      <c r="J18" s="86"/>
    </row>
    <row r="19" spans="3:10">
      <c r="C19" t="s">
        <v>7</v>
      </c>
      <c r="D19" s="9"/>
      <c r="E19" s="85"/>
      <c r="F19" s="85"/>
      <c r="G19" s="85"/>
      <c r="H19" s="85"/>
      <c r="I19" s="85"/>
      <c r="J19" s="85"/>
    </row>
    <row r="20" spans="3:10">
      <c r="C20" t="s">
        <v>8</v>
      </c>
      <c r="D20" s="9">
        <f>SUM(E16:I16)+(I18/(1+D12)^5)</f>
        <v>38249458583.295029</v>
      </c>
      <c r="E20" s="85"/>
      <c r="F20" s="85"/>
      <c r="G20" s="85"/>
      <c r="H20" s="85"/>
      <c r="I20" s="85"/>
      <c r="J20" s="85"/>
    </row>
    <row r="21" spans="3:10">
      <c r="C21" t="s">
        <v>105</v>
      </c>
      <c r="D21" s="9">
        <v>4231575000</v>
      </c>
      <c r="E21" s="85"/>
      <c r="F21" s="85"/>
      <c r="G21" s="85"/>
      <c r="H21" s="85"/>
      <c r="I21" s="85"/>
      <c r="J21" s="85"/>
    </row>
    <row r="22" spans="3:10">
      <c r="C22" t="s">
        <v>9</v>
      </c>
      <c r="D22" s="9">
        <f>D20-D21</f>
        <v>34017883583.295029</v>
      </c>
      <c r="E22" s="85"/>
      <c r="F22" s="85"/>
      <c r="G22" s="85"/>
      <c r="H22" s="85"/>
      <c r="I22" s="85"/>
      <c r="J22" s="85"/>
    </row>
    <row r="23" spans="3:10">
      <c r="C23" s="90" t="s">
        <v>10</v>
      </c>
      <c r="D23" s="91">
        <f>D22/1499074627</f>
        <v>22.692588461304823</v>
      </c>
      <c r="E23" s="85"/>
      <c r="F23" s="85"/>
      <c r="G23" s="85"/>
      <c r="H23" s="85"/>
      <c r="I23" s="85"/>
      <c r="J23" s="85"/>
    </row>
    <row r="28" spans="3:10" ht="16">
      <c r="E28" s="50" t="s">
        <v>49</v>
      </c>
      <c r="F28" s="50"/>
      <c r="G28" s="50"/>
      <c r="H28" s="50"/>
      <c r="I28" s="50"/>
    </row>
    <row r="29" spans="3:10" ht="16">
      <c r="C29" s="21"/>
      <c r="D29" s="43">
        <v>2025</v>
      </c>
      <c r="E29" s="44">
        <v>2026</v>
      </c>
      <c r="F29" s="44">
        <v>2027</v>
      </c>
      <c r="G29" s="44">
        <v>2028</v>
      </c>
      <c r="H29" s="44">
        <v>2029</v>
      </c>
      <c r="I29" s="44">
        <v>2030</v>
      </c>
    </row>
    <row r="30" spans="3:10" ht="16">
      <c r="C30" s="35" t="s">
        <v>50</v>
      </c>
      <c r="D30" s="35"/>
      <c r="E30" s="37"/>
      <c r="F30" s="37"/>
      <c r="G30" s="37"/>
      <c r="H30" s="37"/>
      <c r="I30" s="37"/>
    </row>
    <row r="31" spans="3:10">
      <c r="C31" t="s">
        <v>28</v>
      </c>
      <c r="D31" s="9">
        <v>2049541.5</v>
      </c>
      <c r="E31" s="85">
        <v>2192875.9340436002</v>
      </c>
      <c r="F31" s="85">
        <v>2244136.1801708927</v>
      </c>
      <c r="G31" s="85">
        <v>2286761.5667930804</v>
      </c>
      <c r="H31" s="85">
        <v>2324706.2588231913</v>
      </c>
      <c r="I31" s="85">
        <v>2340844.4645579113</v>
      </c>
    </row>
    <row r="32" spans="3:10">
      <c r="C32" t="s">
        <v>32</v>
      </c>
      <c r="D32" s="9">
        <v>59877</v>
      </c>
      <c r="E32" s="85">
        <v>38904.568882927357</v>
      </c>
      <c r="F32" s="85">
        <v>-23474.832539672789</v>
      </c>
      <c r="G32" s="85">
        <v>39533.285517480224</v>
      </c>
      <c r="H32" s="85">
        <v>16798.978092028003</v>
      </c>
      <c r="I32" s="85">
        <v>9962.700043230725</v>
      </c>
    </row>
    <row r="33" spans="3:9">
      <c r="C33" t="s">
        <v>30</v>
      </c>
      <c r="D33" s="9">
        <v>690024</v>
      </c>
      <c r="E33" s="85">
        <v>706116.0082552057</v>
      </c>
      <c r="F33" s="85">
        <v>751698.28525655984</v>
      </c>
      <c r="G33" s="85">
        <v>777507.56252788869</v>
      </c>
      <c r="H33" s="85">
        <v>803801.82309710362</v>
      </c>
      <c r="I33" s="85">
        <v>861082.278241514</v>
      </c>
    </row>
    <row r="34" spans="3:9">
      <c r="C34" t="s">
        <v>29</v>
      </c>
      <c r="D34" s="9">
        <v>668339</v>
      </c>
      <c r="E34" s="85">
        <v>767748.01915557403</v>
      </c>
      <c r="F34" s="85">
        <v>762372.95078261325</v>
      </c>
      <c r="G34" s="85">
        <v>818836.19398109755</v>
      </c>
      <c r="H34" s="85">
        <v>845041.32646490843</v>
      </c>
      <c r="I34" s="85">
        <v>861082.278241514</v>
      </c>
    </row>
    <row r="35" spans="3:9">
      <c r="C35" t="s">
        <v>58</v>
      </c>
      <c r="D35" s="9">
        <v>11800006</v>
      </c>
      <c r="E35" s="85">
        <f>D35+E33-E34</f>
        <v>11738373.989099633</v>
      </c>
      <c r="F35" s="85">
        <f t="shared" ref="F35:I35" si="1">E35+F33-F34</f>
        <v>11727699.323573578</v>
      </c>
      <c r="G35" s="85">
        <f t="shared" si="1"/>
        <v>11686370.69212037</v>
      </c>
      <c r="H35" s="85">
        <f t="shared" si="1"/>
        <v>11645131.188752566</v>
      </c>
      <c r="I35" s="85">
        <f t="shared" si="1"/>
        <v>11645131.188752566</v>
      </c>
    </row>
    <row r="36" spans="3:9">
      <c r="C36" t="s">
        <v>51</v>
      </c>
      <c r="D36" s="9">
        <f>D35+D32</f>
        <v>11859883</v>
      </c>
      <c r="E36" s="85">
        <f t="shared" ref="E36:I36" si="2">E35+E32</f>
        <v>11777278.55798256</v>
      </c>
      <c r="F36" s="85">
        <f t="shared" si="2"/>
        <v>11704224.491033906</v>
      </c>
      <c r="G36" s="85">
        <f t="shared" si="2"/>
        <v>11725903.97763785</v>
      </c>
      <c r="H36" s="85">
        <f t="shared" si="2"/>
        <v>11661930.166844593</v>
      </c>
      <c r="I36" s="85">
        <f t="shared" si="2"/>
        <v>11655093.888795797</v>
      </c>
    </row>
    <row r="37" spans="3:9">
      <c r="C37" t="s">
        <v>52</v>
      </c>
      <c r="D37" s="11">
        <f>D31/((D36+11728774)/2)</f>
        <v>0.17377347934645029</v>
      </c>
      <c r="E37" s="87">
        <f>E31/((E36+D36)/2)</f>
        <v>0.1855447769110872</v>
      </c>
      <c r="F37" s="87">
        <f t="shared" ref="F37:I37" si="3">F31/((F36+E36)/2)</f>
        <v>0.19114076092031845</v>
      </c>
      <c r="G37" s="87">
        <f t="shared" si="3"/>
        <v>0.19519838056805294</v>
      </c>
      <c r="H37" s="87">
        <f t="shared" si="3"/>
        <v>0.19879619843906121</v>
      </c>
      <c r="I37" s="87">
        <f t="shared" si="3"/>
        <v>0.20078415315539896</v>
      </c>
    </row>
    <row r="38" spans="3:9">
      <c r="C38" t="s">
        <v>21</v>
      </c>
      <c r="D38" s="14">
        <v>6.6153000000000003E-2</v>
      </c>
      <c r="E38" s="86">
        <v>6.6153000000000003E-2</v>
      </c>
      <c r="F38" s="86">
        <v>6.6153000000000003E-2</v>
      </c>
      <c r="G38" s="86">
        <v>6.6153000000000003E-2</v>
      </c>
      <c r="H38" s="86">
        <v>6.6153000000000003E-2</v>
      </c>
      <c r="I38" s="86">
        <v>6.6153000000000003E-2</v>
      </c>
    </row>
    <row r="39" spans="3:9">
      <c r="C39" t="s">
        <v>53</v>
      </c>
      <c r="D39" s="14">
        <f>D37-D38</f>
        <v>0.10762047934645029</v>
      </c>
      <c r="E39" s="86">
        <f t="shared" ref="E39:I39" si="4">E37-E38</f>
        <v>0.1193917769110872</v>
      </c>
      <c r="F39" s="86">
        <f t="shared" si="4"/>
        <v>0.12498776092031845</v>
      </c>
      <c r="G39" s="86">
        <f t="shared" si="4"/>
        <v>0.12904538056805293</v>
      </c>
      <c r="H39" s="86">
        <f t="shared" si="4"/>
        <v>0.13264319843906119</v>
      </c>
      <c r="I39" s="86">
        <f t="shared" si="4"/>
        <v>0.13463115315539897</v>
      </c>
    </row>
    <row r="40" spans="3:9">
      <c r="E40" s="95"/>
      <c r="F40" s="95"/>
      <c r="G40" s="95"/>
      <c r="H40" s="95"/>
      <c r="I40" s="95"/>
    </row>
    <row r="41" spans="3:9">
      <c r="C41" s="80" t="s">
        <v>54</v>
      </c>
      <c r="D41" s="81">
        <f>D33-D34+D32</f>
        <v>81562</v>
      </c>
      <c r="E41" s="89">
        <f t="shared" ref="E41:I41" si="5">E33-E34+E32</f>
        <v>-22727.442017440975</v>
      </c>
      <c r="F41" s="89">
        <f t="shared" si="5"/>
        <v>-34149.498065726191</v>
      </c>
      <c r="G41" s="89">
        <f t="shared" si="5"/>
        <v>-1795.3459357286338</v>
      </c>
      <c r="H41" s="89">
        <f t="shared" si="5"/>
        <v>-24440.525275776803</v>
      </c>
      <c r="I41" s="89">
        <f t="shared" si="5"/>
        <v>9962.700043230725</v>
      </c>
    </row>
    <row r="42" spans="3:9">
      <c r="C42" t="s">
        <v>55</v>
      </c>
      <c r="D42" s="11">
        <f>D41/D31</f>
        <v>3.979524200900543E-2</v>
      </c>
      <c r="E42" s="87">
        <f t="shared" ref="E42:I42" si="6">E41/E31</f>
        <v>-1.0364216992218171E-2</v>
      </c>
      <c r="F42" s="87">
        <f t="shared" si="6"/>
        <v>-1.5217212915806954E-2</v>
      </c>
      <c r="G42" s="87">
        <f t="shared" si="6"/>
        <v>-7.85104123577868E-4</v>
      </c>
      <c r="H42" s="87">
        <f t="shared" si="6"/>
        <v>-1.0513382145815292E-2</v>
      </c>
      <c r="I42" s="87">
        <f t="shared" si="6"/>
        <v>4.2560281958384056E-3</v>
      </c>
    </row>
    <row r="43" spans="3:9">
      <c r="C43" t="s">
        <v>56</v>
      </c>
      <c r="D43" s="93">
        <f>D42*D37</f>
        <v>6.9153576653388964E-3</v>
      </c>
      <c r="E43" s="96">
        <f t="shared" ref="E43:I43" si="7">E42*E37</f>
        <v>-1.9230263296792197E-3</v>
      </c>
      <c r="F43" s="96">
        <f t="shared" si="7"/>
        <v>-2.9086296558138388E-3</v>
      </c>
      <c r="G43" s="96">
        <f t="shared" si="7"/>
        <v>-1.5325105349970036E-4</v>
      </c>
      <c r="H43" s="96">
        <f t="shared" si="7"/>
        <v>-2.0900204033251798E-3</v>
      </c>
      <c r="I43" s="96">
        <f t="shared" si="7"/>
        <v>8.5454301710691477E-4</v>
      </c>
    </row>
    <row r="44" spans="3:9">
      <c r="C44" t="s">
        <v>59</v>
      </c>
      <c r="D44" s="11">
        <f>D37-D42</f>
        <v>0.13397823733744485</v>
      </c>
      <c r="E44" s="87">
        <f t="shared" ref="E44:I44" si="8">E37-E42</f>
        <v>0.19590899390330538</v>
      </c>
      <c r="F44" s="87">
        <f t="shared" si="8"/>
        <v>0.20635797383612542</v>
      </c>
      <c r="G44" s="87">
        <f t="shared" si="8"/>
        <v>0.19598348469163082</v>
      </c>
      <c r="H44" s="87">
        <f t="shared" si="8"/>
        <v>0.2093095805848765</v>
      </c>
      <c r="I44" s="87">
        <f t="shared" si="8"/>
        <v>0.19652812495956057</v>
      </c>
    </row>
    <row r="45" spans="3:9">
      <c r="C45" t="s">
        <v>57</v>
      </c>
      <c r="D45" s="93">
        <v>-6.6879206038194555E-2</v>
      </c>
      <c r="E45" s="87">
        <v>4.7205262475894391E-2</v>
      </c>
      <c r="F45" s="87">
        <v>4.1633363426045726E-2</v>
      </c>
      <c r="G45" s="87">
        <v>3.7882417686030199E-2</v>
      </c>
      <c r="H45" s="97">
        <v>3.5995912622669449E-2</v>
      </c>
      <c r="I45" s="97">
        <v>3.5995912622669386E-2</v>
      </c>
    </row>
    <row r="51" spans="3:4" ht="16">
      <c r="C51" s="35" t="s">
        <v>109</v>
      </c>
      <c r="D51" s="35"/>
    </row>
    <row r="52" spans="3:4">
      <c r="C52" t="s">
        <v>8</v>
      </c>
      <c r="D52" s="9">
        <v>38249458583.295029</v>
      </c>
    </row>
    <row r="53" spans="3:4">
      <c r="C53" s="99" t="s">
        <v>110</v>
      </c>
      <c r="D53" s="9">
        <v>4231575000</v>
      </c>
    </row>
    <row r="54" spans="3:4">
      <c r="C54" s="90" t="s">
        <v>9</v>
      </c>
      <c r="D54" s="98">
        <v>34017883583.295029</v>
      </c>
    </row>
    <row r="56" spans="3:4">
      <c r="C56" t="s">
        <v>106</v>
      </c>
      <c r="D56">
        <v>22.69</v>
      </c>
    </row>
    <row r="57" spans="3:4">
      <c r="C57" t="s">
        <v>107</v>
      </c>
      <c r="D57">
        <v>23.82</v>
      </c>
    </row>
    <row r="58" spans="3:4">
      <c r="C58" s="90" t="s">
        <v>108</v>
      </c>
      <c r="D58" s="100">
        <f>(D56-D57)/D57</f>
        <v>-4.7439126784214906E-2</v>
      </c>
    </row>
  </sheetData>
  <mergeCells count="2">
    <mergeCell ref="E28:I28"/>
    <mergeCell ref="E7:I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showGridLines="0" topLeftCell="A2" zoomScale="173" workbookViewId="0">
      <selection activeCell="A7" sqref="A7"/>
    </sheetView>
  </sheetViews>
  <sheetFormatPr baseColWidth="10" defaultColWidth="8.83203125" defaultRowHeight="15"/>
  <cols>
    <col min="3" max="3" width="15" bestFit="1" customWidth="1"/>
    <col min="4" max="4" width="13.6640625" bestFit="1" customWidth="1"/>
    <col min="5" max="5" width="12.1640625" bestFit="1" customWidth="1"/>
    <col min="6" max="6" width="15.6640625" bestFit="1" customWidth="1"/>
    <col min="9" max="11" width="15.6640625" bestFit="1" customWidth="1"/>
    <col min="12" max="12" width="16.83203125" bestFit="1" customWidth="1"/>
    <col min="13" max="13" width="15.6640625" bestFit="1" customWidth="1"/>
    <col min="14" max="14" width="12.1640625" customWidth="1"/>
    <col min="15" max="15" width="13" customWidth="1"/>
  </cols>
  <sheetData>
    <row r="1" spans="1:16" ht="26">
      <c r="A1" s="6" t="s">
        <v>0</v>
      </c>
      <c r="B1" s="3"/>
      <c r="C1" s="3"/>
      <c r="D1" s="3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">
      <c r="A2" s="4" t="s">
        <v>11</v>
      </c>
      <c r="B2" s="5"/>
      <c r="C2" s="5"/>
      <c r="D2" s="5"/>
      <c r="E2" s="5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16">
      <c r="A3" s="40" t="s">
        <v>113</v>
      </c>
      <c r="B3" s="40"/>
      <c r="C3" s="40"/>
      <c r="D3" s="40"/>
      <c r="E3" s="40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6" spans="1:16" ht="16">
      <c r="C6" s="41" t="s">
        <v>1</v>
      </c>
      <c r="D6" s="82"/>
      <c r="E6" s="82"/>
      <c r="F6" s="82"/>
    </row>
    <row r="7" spans="1:16">
      <c r="C7" t="s">
        <v>104</v>
      </c>
      <c r="D7" s="101">
        <v>1.4999999999999999E-2</v>
      </c>
      <c r="E7" s="101">
        <v>1.7500000000000002E-2</v>
      </c>
      <c r="F7" s="101">
        <v>0.02</v>
      </c>
    </row>
    <row r="8" spans="1:16">
      <c r="C8" s="32">
        <v>0.06</v>
      </c>
      <c r="D8" s="83">
        <v>30.184208510389791</v>
      </c>
      <c r="E8" s="83">
        <v>31.816613395791673</v>
      </c>
      <c r="F8" s="83">
        <v>33.653068891868791</v>
      </c>
    </row>
    <row r="9" spans="1:16">
      <c r="C9" s="32">
        <v>6.5000000000000002E-2</v>
      </c>
      <c r="D9" s="83">
        <v>26.883097803525107</v>
      </c>
      <c r="E9" s="83">
        <v>28.173100878922686</v>
      </c>
      <c r="F9" s="83">
        <v>29.606437629364436</v>
      </c>
      <c r="I9" s="9"/>
      <c r="J9" s="9"/>
      <c r="K9" s="9"/>
      <c r="L9" s="9"/>
      <c r="M9" s="9"/>
    </row>
    <row r="10" spans="1:16">
      <c r="C10" s="32">
        <v>7.0000000000000007E-2</v>
      </c>
      <c r="D10" s="83">
        <v>24.18216077625198</v>
      </c>
      <c r="E10" s="83">
        <v>25.223508296265294</v>
      </c>
      <c r="F10" s="83">
        <v>26.368990568279937</v>
      </c>
    </row>
    <row r="11" spans="1:16">
      <c r="C11" s="32">
        <v>7.4999999999999997E-2</v>
      </c>
      <c r="D11" s="83">
        <v>21.931355091807173</v>
      </c>
      <c r="E11" s="83">
        <v>22.786815350323913</v>
      </c>
      <c r="F11" s="83">
        <v>23.720044723251259</v>
      </c>
    </row>
    <row r="12" spans="1:16">
      <c r="C12" s="32">
        <v>0.08</v>
      </c>
      <c r="D12" s="83">
        <v>20.026805248137808</v>
      </c>
      <c r="E12" s="83">
        <v>20.739928167739464</v>
      </c>
      <c r="F12" s="83">
        <v>21.512477997307922</v>
      </c>
      <c r="I12" s="9"/>
      <c r="J12" s="9"/>
      <c r="K12" s="9"/>
      <c r="L12" s="9"/>
      <c r="M12" s="9"/>
    </row>
    <row r="13" spans="1:16">
      <c r="C13" s="32">
        <v>8.5000000000000006E-2</v>
      </c>
      <c r="D13" s="83">
        <v>18.394314424079131</v>
      </c>
      <c r="E13" s="83">
        <v>18.996225070607601</v>
      </c>
      <c r="F13" s="83">
        <v>19.644436536099796</v>
      </c>
      <c r="I13" s="14"/>
      <c r="J13" s="14"/>
      <c r="K13" s="14"/>
      <c r="L13" s="14"/>
      <c r="M13" s="14"/>
    </row>
    <row r="14" spans="1:16">
      <c r="I14" s="14"/>
      <c r="J14" s="14"/>
      <c r="K14" s="14"/>
      <c r="L14" s="14"/>
      <c r="M14" s="14"/>
    </row>
    <row r="15" spans="1:16">
      <c r="I15" s="11"/>
      <c r="J15" s="11"/>
      <c r="K15" s="11"/>
      <c r="L15" s="11"/>
      <c r="M15" s="11"/>
    </row>
    <row r="16" spans="1:16">
      <c r="I16" s="9"/>
      <c r="J16" s="9"/>
      <c r="K16" s="9"/>
      <c r="L16" s="9"/>
      <c r="M16" s="9"/>
    </row>
    <row r="17" spans="3:13" ht="16">
      <c r="C17" s="79" t="s">
        <v>99</v>
      </c>
      <c r="D17" s="49" t="s">
        <v>96</v>
      </c>
      <c r="E17" s="49" t="s">
        <v>97</v>
      </c>
      <c r="F17" s="49" t="s">
        <v>98</v>
      </c>
      <c r="I17" s="9"/>
      <c r="J17" s="9"/>
      <c r="K17" s="9"/>
      <c r="L17" s="9"/>
      <c r="M17" s="14"/>
    </row>
    <row r="18" spans="3:13">
      <c r="C18" t="s">
        <v>100</v>
      </c>
      <c r="D18" s="11">
        <v>2.3E-2</v>
      </c>
      <c r="E18" s="7">
        <f>POWER(('Operating Forecast'!M8/'Operating Forecast'!H8),1/5)-1</f>
        <v>3.9499418413377896E-2</v>
      </c>
      <c r="F18" s="11">
        <v>3.3000000000000002E-2</v>
      </c>
      <c r="I18" s="9"/>
      <c r="J18" s="9"/>
      <c r="K18" s="9"/>
      <c r="L18" s="9"/>
      <c r="M18" s="14"/>
    </row>
    <row r="19" spans="3:13">
      <c r="C19" t="s">
        <v>101</v>
      </c>
      <c r="D19" s="11">
        <v>1.7999999999999999E-2</v>
      </c>
      <c r="E19" s="7">
        <f>POWER(('Operating Forecast'!M10/'Operating Forecast'!H10),1/5)-1</f>
        <v>3.5259451640203388E-2</v>
      </c>
      <c r="F19" s="78">
        <v>2.8000000000000001E-2</v>
      </c>
      <c r="I19" s="9"/>
      <c r="J19" s="9"/>
      <c r="K19" s="9"/>
      <c r="L19" s="9"/>
      <c r="M19" s="14"/>
    </row>
    <row r="20" spans="3:13">
      <c r="C20" t="s">
        <v>102</v>
      </c>
      <c r="D20" s="48">
        <v>8.6</v>
      </c>
      <c r="E20" s="48">
        <v>9.3000000000000007</v>
      </c>
      <c r="F20">
        <v>10</v>
      </c>
      <c r="I20" s="9"/>
      <c r="J20" s="9"/>
      <c r="K20" s="9"/>
      <c r="L20" s="9"/>
      <c r="M20" s="14"/>
    </row>
    <row r="21" spans="3:13">
      <c r="I21" s="9"/>
      <c r="J21" s="9"/>
      <c r="K21" s="9"/>
      <c r="L21" s="9"/>
      <c r="M21" s="9"/>
    </row>
    <row r="22" spans="3:13">
      <c r="I22" s="9"/>
      <c r="J22" s="9"/>
      <c r="K22" s="9"/>
      <c r="L22" s="9"/>
      <c r="M22" s="9"/>
    </row>
    <row r="23" spans="3:13">
      <c r="I23" s="9"/>
      <c r="J23" s="9"/>
      <c r="K23" s="9"/>
      <c r="L23" s="9"/>
      <c r="M23" s="9"/>
    </row>
    <row r="24" spans="3:13">
      <c r="I24" s="9"/>
      <c r="J24" s="9"/>
      <c r="K24" s="9"/>
      <c r="L24" s="9"/>
      <c r="M24" s="9"/>
    </row>
    <row r="25" spans="3:13">
      <c r="I25" s="9"/>
      <c r="J25" s="9"/>
      <c r="K25" s="9"/>
      <c r="L25" s="9"/>
      <c r="M25" s="9"/>
    </row>
    <row r="28" spans="3:13">
      <c r="F28" s="9"/>
    </row>
  </sheetData>
  <mergeCells count="1">
    <mergeCell ref="D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Operating Forecast</vt:lpstr>
      <vt:lpstr>Multiples</vt:lpstr>
      <vt:lpstr>Cost of Capital</vt:lpstr>
      <vt:lpstr>Valuation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Campinos</cp:lastModifiedBy>
  <dcterms:created xsi:type="dcterms:W3CDTF">2026-03-08T11:31:19Z</dcterms:created>
  <dcterms:modified xsi:type="dcterms:W3CDTF">2026-03-14T15:12:32Z</dcterms:modified>
</cp:coreProperties>
</file>